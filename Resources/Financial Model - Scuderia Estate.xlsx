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d5181c4b6a265b/Documents/Forward/Bath/Academics/Semester 2/Entrepreneurship Coursework/"/>
    </mc:Choice>
  </mc:AlternateContent>
  <xr:revisionPtr revIDLastSave="712" documentId="8_{FABBFB69-E19A-4158-8DB2-4C58E5080CB4}" xr6:coauthVersionLast="47" xr6:coauthVersionMax="47" xr10:uidLastSave="{61E07E0C-C829-49CE-A6E0-D1734F04877A}"/>
  <bookViews>
    <workbookView xWindow="-103" yWindow="-103" windowWidth="24892" windowHeight="14914" activeTab="4" xr2:uid="{CEC6B8F3-9BAB-47E1-B288-8B51F07DDD18}"/>
  </bookViews>
  <sheets>
    <sheet name="OpexCapex" sheetId="4" r:id="rId1"/>
    <sheet name="Quarterly" sheetId="5" r:id="rId2"/>
    <sheet name="Annual" sheetId="6" state="hidden" r:id="rId3"/>
    <sheet name="Assumptions" sheetId="1" r:id="rId4"/>
    <sheet name="DCF" sheetId="2" r:id="rId5"/>
  </sheets>
  <definedNames>
    <definedName name="_xlnm.Print_Area" localSheetId="2">Annual!$C$2:$P$35</definedName>
    <definedName name="_xlnm.Print_Area" localSheetId="0">OpexCapex!$B$2:$AB$32</definedName>
    <definedName name="_xlnm.Print_Area" localSheetId="1">Quarterly!$C$2:$AD$31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7" i="2" l="1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Y51" i="2"/>
  <c r="U51" i="2"/>
  <c r="Q51" i="2"/>
  <c r="M51" i="2"/>
  <c r="I51" i="2"/>
  <c r="E51" i="2"/>
  <c r="I12" i="2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AG58" i="2"/>
  <c r="AF58" i="2"/>
  <c r="AE58" i="2"/>
  <c r="AD58" i="2"/>
  <c r="AC58" i="2"/>
  <c r="AB58" i="2"/>
  <c r="AA58" i="2"/>
  <c r="Z58" i="2"/>
  <c r="B50" i="2"/>
  <c r="B49" i="2"/>
  <c r="B48" i="2"/>
  <c r="B47" i="2"/>
  <c r="B46" i="2"/>
  <c r="B45" i="2"/>
  <c r="B44" i="2"/>
  <c r="B43" i="2"/>
  <c r="B42" i="2"/>
  <c r="J35" i="6"/>
  <c r="H35" i="6"/>
  <c r="AD31" i="5"/>
  <c r="J34" i="6" s="1"/>
  <c r="AC31" i="5"/>
  <c r="AC30" i="5" s="1"/>
  <c r="AB31" i="5"/>
  <c r="AB30" i="5" s="1"/>
  <c r="AA31" i="5"/>
  <c r="AA30" i="5" s="1"/>
  <c r="Z31" i="5"/>
  <c r="Y31" i="5"/>
  <c r="X50" i="2" s="1"/>
  <c r="X31" i="5"/>
  <c r="W31" i="5"/>
  <c r="V31" i="5"/>
  <c r="U31" i="5"/>
  <c r="T31" i="5"/>
  <c r="S31" i="5"/>
  <c r="R31" i="5"/>
  <c r="Q50" i="2" s="1"/>
  <c r="Q31" i="5"/>
  <c r="P50" i="2" s="1"/>
  <c r="P31" i="5"/>
  <c r="O50" i="2" s="1"/>
  <c r="O31" i="5"/>
  <c r="N50" i="2" s="1"/>
  <c r="N31" i="5"/>
  <c r="M50" i="2" s="1"/>
  <c r="M31" i="5"/>
  <c r="L50" i="2" s="1"/>
  <c r="L31" i="5"/>
  <c r="K50" i="2" s="1"/>
  <c r="K31" i="5"/>
  <c r="J50" i="2" s="1"/>
  <c r="J31" i="5"/>
  <c r="I31" i="5"/>
  <c r="H50" i="2" s="1"/>
  <c r="H31" i="5"/>
  <c r="G50" i="2" s="1"/>
  <c r="G31" i="5"/>
  <c r="F50" i="2" s="1"/>
  <c r="F31" i="5"/>
  <c r="E31" i="5"/>
  <c r="J32" i="6"/>
  <c r="I32" i="6"/>
  <c r="AD29" i="5"/>
  <c r="J31" i="6" s="1"/>
  <c r="AC29" i="5"/>
  <c r="AB29" i="5"/>
  <c r="AA29" i="5"/>
  <c r="Z29" i="5"/>
  <c r="Y49" i="2" s="1"/>
  <c r="Y29" i="5"/>
  <c r="X49" i="2" s="1"/>
  <c r="X29" i="5"/>
  <c r="W29" i="5"/>
  <c r="V29" i="5"/>
  <c r="U29" i="5"/>
  <c r="T49" i="2" s="1"/>
  <c r="T29" i="5"/>
  <c r="S49" i="2" s="1"/>
  <c r="S29" i="5"/>
  <c r="R49" i="2" s="1"/>
  <c r="R29" i="5"/>
  <c r="Q49" i="2" s="1"/>
  <c r="Q29" i="5"/>
  <c r="P49" i="2" s="1"/>
  <c r="P29" i="5"/>
  <c r="O49" i="2" s="1"/>
  <c r="O29" i="5"/>
  <c r="N49" i="2" s="1"/>
  <c r="N29" i="5"/>
  <c r="M49" i="2" s="1"/>
  <c r="M29" i="5"/>
  <c r="L49" i="2" s="1"/>
  <c r="L29" i="5"/>
  <c r="K49" i="2" s="1"/>
  <c r="K29" i="5"/>
  <c r="J49" i="2" s="1"/>
  <c r="J29" i="5"/>
  <c r="I29" i="5"/>
  <c r="H49" i="2" s="1"/>
  <c r="H29" i="5"/>
  <c r="G49" i="2" s="1"/>
  <c r="G29" i="5"/>
  <c r="F49" i="2" s="1"/>
  <c r="F29" i="5"/>
  <c r="E49" i="2" s="1"/>
  <c r="E29" i="5"/>
  <c r="AD26" i="5"/>
  <c r="AC26" i="5"/>
  <c r="AB26" i="5"/>
  <c r="AA26" i="5"/>
  <c r="Z26" i="5"/>
  <c r="Y47" i="2" s="1"/>
  <c r="Y26" i="5"/>
  <c r="X47" i="2" s="1"/>
  <c r="X26" i="5"/>
  <c r="W47" i="2" s="1"/>
  <c r="W26" i="5"/>
  <c r="V47" i="2" s="1"/>
  <c r="V26" i="5"/>
  <c r="U47" i="2" s="1"/>
  <c r="U26" i="5"/>
  <c r="T47" i="2" s="1"/>
  <c r="T26" i="5"/>
  <c r="S47" i="2" s="1"/>
  <c r="S26" i="5"/>
  <c r="R47" i="2" s="1"/>
  <c r="R26" i="5"/>
  <c r="Q47" i="2" s="1"/>
  <c r="Q26" i="5"/>
  <c r="P47" i="2" s="1"/>
  <c r="P26" i="5"/>
  <c r="O47" i="2" s="1"/>
  <c r="O26" i="5"/>
  <c r="O25" i="5" s="1"/>
  <c r="N26" i="5"/>
  <c r="M26" i="5"/>
  <c r="L47" i="2" s="1"/>
  <c r="L26" i="5"/>
  <c r="K47" i="2" s="1"/>
  <c r="K26" i="5"/>
  <c r="J26" i="5"/>
  <c r="I47" i="2" s="1"/>
  <c r="I26" i="5"/>
  <c r="H47" i="2" s="1"/>
  <c r="H26" i="5"/>
  <c r="G47" i="2" s="1"/>
  <c r="G26" i="5"/>
  <c r="F47" i="2" s="1"/>
  <c r="F26" i="5"/>
  <c r="E47" i="2" s="1"/>
  <c r="E26" i="5"/>
  <c r="D28" i="6" s="1"/>
  <c r="AD24" i="5"/>
  <c r="J25" i="6" s="1"/>
  <c r="AC24" i="5"/>
  <c r="AB24" i="5"/>
  <c r="AA24" i="5"/>
  <c r="Z24" i="5"/>
  <c r="Y46" i="2" s="1"/>
  <c r="Y24" i="5"/>
  <c r="X46" i="2" s="1"/>
  <c r="X24" i="5"/>
  <c r="W46" i="2" s="1"/>
  <c r="W24" i="5"/>
  <c r="V46" i="2" s="1"/>
  <c r="V24" i="5"/>
  <c r="U24" i="5"/>
  <c r="T46" i="2" s="1"/>
  <c r="T24" i="5"/>
  <c r="S46" i="2" s="1"/>
  <c r="S24" i="5"/>
  <c r="R46" i="2" s="1"/>
  <c r="R24" i="5"/>
  <c r="Q24" i="5"/>
  <c r="P46" i="2" s="1"/>
  <c r="P24" i="5"/>
  <c r="O46" i="2" s="1"/>
  <c r="O24" i="5"/>
  <c r="N46" i="2" s="1"/>
  <c r="N24" i="5"/>
  <c r="M46" i="2" s="1"/>
  <c r="M24" i="5"/>
  <c r="L46" i="2" s="1"/>
  <c r="L24" i="5"/>
  <c r="K46" i="2" s="1"/>
  <c r="K24" i="5"/>
  <c r="J46" i="2" s="1"/>
  <c r="J24" i="5"/>
  <c r="I46" i="2" s="1"/>
  <c r="I24" i="5"/>
  <c r="H46" i="2" s="1"/>
  <c r="H24" i="5"/>
  <c r="G46" i="2" s="1"/>
  <c r="G24" i="5"/>
  <c r="F46" i="2" s="1"/>
  <c r="F24" i="5"/>
  <c r="E46" i="2" s="1"/>
  <c r="E24" i="5"/>
  <c r="D46" i="2" s="1"/>
  <c r="AD21" i="5"/>
  <c r="J21" i="6" s="1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AD20" i="5"/>
  <c r="J20" i="6" s="1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AD19" i="5"/>
  <c r="J19" i="6" s="1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AD17" i="5"/>
  <c r="J17" i="6" s="1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AD16" i="5"/>
  <c r="J16" i="6" s="1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5" i="5"/>
  <c r="X15" i="5" s="1"/>
  <c r="AD13" i="5"/>
  <c r="J13" i="6" s="1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AD12" i="5"/>
  <c r="J12" i="6" s="1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AD11" i="5"/>
  <c r="J11" i="6" s="1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AD10" i="5"/>
  <c r="J10" i="6" s="1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AD9" i="5"/>
  <c r="J9" i="6" s="1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AD8" i="5"/>
  <c r="J8" i="6" s="1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7" i="5"/>
  <c r="X7" i="5" s="1"/>
  <c r="E3" i="5"/>
  <c r="F1" i="5"/>
  <c r="G1" i="5" s="1"/>
  <c r="H1" i="5" s="1"/>
  <c r="C3" i="4"/>
  <c r="D1" i="4"/>
  <c r="E1" i="4" s="1"/>
  <c r="T15" i="5" l="1"/>
  <c r="AB15" i="5"/>
  <c r="AC15" i="5"/>
  <c r="U15" i="5"/>
  <c r="AD15" i="5"/>
  <c r="J15" i="6" s="1"/>
  <c r="Y15" i="5"/>
  <c r="Y14" i="5" s="1"/>
  <c r="X44" i="2" s="1"/>
  <c r="E23" i="5"/>
  <c r="I45" i="2"/>
  <c r="L25" i="5"/>
  <c r="R15" i="5"/>
  <c r="S15" i="5"/>
  <c r="S14" i="5" s="1"/>
  <c r="R44" i="2" s="1"/>
  <c r="E7" i="5"/>
  <c r="E6" i="5" s="1"/>
  <c r="D43" i="2" s="1"/>
  <c r="V7" i="5"/>
  <c r="V6" i="5" s="1"/>
  <c r="U43" i="2" s="1"/>
  <c r="W7" i="5"/>
  <c r="W6" i="5" s="1"/>
  <c r="V43" i="2" s="1"/>
  <c r="G15" i="5"/>
  <c r="G14" i="5" s="1"/>
  <c r="F44" i="2" s="1"/>
  <c r="AC7" i="5"/>
  <c r="AC6" i="5" s="1"/>
  <c r="H15" i="5"/>
  <c r="H14" i="5" s="1"/>
  <c r="G44" i="2" s="1"/>
  <c r="J15" i="5"/>
  <c r="J14" i="5" s="1"/>
  <c r="I44" i="2" s="1"/>
  <c r="K15" i="5"/>
  <c r="K14" i="5" s="1"/>
  <c r="J44" i="2" s="1"/>
  <c r="L15" i="5"/>
  <c r="L14" i="5" s="1"/>
  <c r="K44" i="2" s="1"/>
  <c r="M15" i="5"/>
  <c r="M14" i="5" s="1"/>
  <c r="L44" i="2" s="1"/>
  <c r="AA7" i="5"/>
  <c r="AA6" i="5" s="1"/>
  <c r="H48" i="2"/>
  <c r="AB7" i="5"/>
  <c r="AB6" i="5" s="1"/>
  <c r="I15" i="5"/>
  <c r="I14" i="5" s="1"/>
  <c r="H44" i="2" s="1"/>
  <c r="N15" i="5"/>
  <c r="N14" i="5" s="1"/>
  <c r="F7" i="5"/>
  <c r="F6" i="5" s="1"/>
  <c r="E43" i="2" s="1"/>
  <c r="G7" i="5"/>
  <c r="G6" i="5" s="1"/>
  <c r="F43" i="2" s="1"/>
  <c r="Y7" i="5"/>
  <c r="Y6" i="5" s="1"/>
  <c r="X43" i="2" s="1"/>
  <c r="Z7" i="5"/>
  <c r="Z6" i="5" s="1"/>
  <c r="Y43" i="2" s="1"/>
  <c r="F15" i="5"/>
  <c r="F14" i="5" s="1"/>
  <c r="E44" i="2" s="1"/>
  <c r="O15" i="5"/>
  <c r="O14" i="5" s="1"/>
  <c r="N44" i="2" s="1"/>
  <c r="Q15" i="5"/>
  <c r="Q14" i="5" s="1"/>
  <c r="P44" i="2" s="1"/>
  <c r="P15" i="5"/>
  <c r="P14" i="5" s="1"/>
  <c r="O44" i="2" s="1"/>
  <c r="W15" i="5"/>
  <c r="W14" i="5" s="1"/>
  <c r="V44" i="2" s="1"/>
  <c r="S45" i="2"/>
  <c r="AC28" i="5"/>
  <c r="AC27" i="5" s="1"/>
  <c r="F9" i="6"/>
  <c r="Z15" i="5"/>
  <c r="T45" i="2"/>
  <c r="E15" i="5"/>
  <c r="E14" i="5" s="1"/>
  <c r="D44" i="2" s="1"/>
  <c r="AA15" i="5"/>
  <c r="H25" i="6"/>
  <c r="F16" i="6"/>
  <c r="H18" i="6"/>
  <c r="E20" i="6"/>
  <c r="X48" i="2"/>
  <c r="Z30" i="5"/>
  <c r="I33" i="6" s="1"/>
  <c r="S28" i="5"/>
  <c r="T28" i="5"/>
  <c r="Q25" i="5"/>
  <c r="F35" i="6"/>
  <c r="P45" i="2"/>
  <c r="R25" i="5"/>
  <c r="V45" i="2"/>
  <c r="S30" i="5"/>
  <c r="G9" i="6"/>
  <c r="I8" i="6"/>
  <c r="P8" i="6" s="1"/>
  <c r="H12" i="6"/>
  <c r="D16" i="6"/>
  <c r="M25" i="5"/>
  <c r="N25" i="5"/>
  <c r="L28" i="5"/>
  <c r="F18" i="6"/>
  <c r="H20" i="6"/>
  <c r="H9" i="6"/>
  <c r="E11" i="6"/>
  <c r="G13" i="6"/>
  <c r="Y30" i="5"/>
  <c r="L48" i="2"/>
  <c r="M48" i="2"/>
  <c r="N48" i="2"/>
  <c r="O48" i="2"/>
  <c r="P48" i="2"/>
  <c r="Q48" i="2"/>
  <c r="U25" i="5"/>
  <c r="V25" i="5"/>
  <c r="G3" i="5"/>
  <c r="L30" i="5"/>
  <c r="D12" i="6"/>
  <c r="D20" i="6"/>
  <c r="T30" i="5"/>
  <c r="U46" i="2"/>
  <c r="U45" i="2" s="1"/>
  <c r="D17" i="6"/>
  <c r="U30" i="5"/>
  <c r="E9" i="6"/>
  <c r="O45" i="2"/>
  <c r="H45" i="2"/>
  <c r="H34" i="6"/>
  <c r="H25" i="5"/>
  <c r="V28" i="5"/>
  <c r="W30" i="5"/>
  <c r="Q30" i="5"/>
  <c r="I25" i="6"/>
  <c r="P25" i="6" s="1"/>
  <c r="U49" i="2"/>
  <c r="U48" i="2" s="1"/>
  <c r="G8" i="6"/>
  <c r="I10" i="6"/>
  <c r="P10" i="6" s="1"/>
  <c r="F12" i="6"/>
  <c r="G25" i="6"/>
  <c r="I25" i="5"/>
  <c r="K25" i="5"/>
  <c r="Y28" i="5"/>
  <c r="W28" i="5"/>
  <c r="AD30" i="5"/>
  <c r="J33" i="6" s="1"/>
  <c r="X30" i="5"/>
  <c r="G35" i="6"/>
  <c r="N35" i="6" s="1"/>
  <c r="G10" i="6"/>
  <c r="I12" i="6"/>
  <c r="P12" i="6" s="1"/>
  <c r="R45" i="2"/>
  <c r="X28" i="5"/>
  <c r="G32" i="6"/>
  <c r="E30" i="5"/>
  <c r="N47" i="2"/>
  <c r="N45" i="2" s="1"/>
  <c r="E13" i="6"/>
  <c r="F30" i="5"/>
  <c r="I34" i="6"/>
  <c r="H11" i="6"/>
  <c r="D31" i="6"/>
  <c r="F28" i="6"/>
  <c r="J48" i="2"/>
  <c r="K48" i="2"/>
  <c r="D11" i="6"/>
  <c r="H16" i="6"/>
  <c r="H32" i="6"/>
  <c r="O32" i="6" s="1"/>
  <c r="I11" i="6"/>
  <c r="P11" i="6" s="1"/>
  <c r="F13" i="6"/>
  <c r="F23" i="5"/>
  <c r="E34" i="6"/>
  <c r="G17" i="6"/>
  <c r="I19" i="6"/>
  <c r="P19" i="6" s="1"/>
  <c r="F21" i="6"/>
  <c r="E31" i="6"/>
  <c r="K30" i="5"/>
  <c r="F48" i="2"/>
  <c r="G48" i="2"/>
  <c r="H3" i="5"/>
  <c r="I1" i="5"/>
  <c r="L45" i="2"/>
  <c r="W45" i="2"/>
  <c r="D18" i="6"/>
  <c r="D21" i="6"/>
  <c r="G25" i="5"/>
  <c r="F45" i="2"/>
  <c r="I18" i="6"/>
  <c r="E28" i="5"/>
  <c r="M28" i="5"/>
  <c r="AA28" i="5"/>
  <c r="AA27" i="5" s="1"/>
  <c r="I28" i="6"/>
  <c r="T50" i="2"/>
  <c r="T48" i="2" s="1"/>
  <c r="H28" i="5"/>
  <c r="K45" i="2"/>
  <c r="J47" i="2"/>
  <c r="J45" i="2" s="1"/>
  <c r="D49" i="2"/>
  <c r="W49" i="2"/>
  <c r="V50" i="2"/>
  <c r="I28" i="5"/>
  <c r="P28" i="5"/>
  <c r="E32" i="6"/>
  <c r="D50" i="2"/>
  <c r="W50" i="2"/>
  <c r="E25" i="5"/>
  <c r="F20" i="6"/>
  <c r="X45" i="2"/>
  <c r="G45" i="2"/>
  <c r="R50" i="2"/>
  <c r="R48" i="2" s="1"/>
  <c r="F28" i="5"/>
  <c r="E27" i="6"/>
  <c r="G28" i="5"/>
  <c r="AB28" i="5"/>
  <c r="AB27" i="5" s="1"/>
  <c r="U50" i="2"/>
  <c r="H17" i="6"/>
  <c r="E19" i="6"/>
  <c r="G21" i="6"/>
  <c r="M21" i="6" s="1"/>
  <c r="G28" i="6"/>
  <c r="J28" i="5"/>
  <c r="Q28" i="5"/>
  <c r="K28" i="5"/>
  <c r="G30" i="5"/>
  <c r="S50" i="2"/>
  <c r="S48" i="2" s="1"/>
  <c r="V49" i="2"/>
  <c r="F3" i="5"/>
  <c r="S25" i="5"/>
  <c r="R28" i="5"/>
  <c r="H30" i="5"/>
  <c r="I35" i="6"/>
  <c r="O35" i="6" s="1"/>
  <c r="M47" i="2"/>
  <c r="M45" i="2" s="1"/>
  <c r="E50" i="2"/>
  <c r="E48" i="2" s="1"/>
  <c r="Y50" i="2"/>
  <c r="Y48" i="2" s="1"/>
  <c r="G19" i="6"/>
  <c r="E45" i="2"/>
  <c r="H13" i="6"/>
  <c r="F25" i="5"/>
  <c r="I31" i="6"/>
  <c r="G16" i="6"/>
  <c r="I9" i="6"/>
  <c r="F11" i="6"/>
  <c r="E17" i="6"/>
  <c r="I21" i="6"/>
  <c r="P21" i="6" s="1"/>
  <c r="D47" i="2"/>
  <c r="D45" i="2" s="1"/>
  <c r="Y45" i="2"/>
  <c r="E25" i="6"/>
  <c r="I30" i="5"/>
  <c r="J30" i="5"/>
  <c r="E35" i="6"/>
  <c r="F19" i="6"/>
  <c r="H21" i="6"/>
  <c r="T25" i="5"/>
  <c r="H28" i="6"/>
  <c r="U28" i="5"/>
  <c r="O28" i="5"/>
  <c r="Q46" i="2"/>
  <c r="Q45" i="2" s="1"/>
  <c r="I49" i="2"/>
  <c r="H31" i="6"/>
  <c r="I50" i="2"/>
  <c r="H19" i="6"/>
  <c r="AC14" i="5"/>
  <c r="T14" i="5"/>
  <c r="S44" i="2" s="1"/>
  <c r="AA14" i="5"/>
  <c r="U14" i="5"/>
  <c r="T44" i="2" s="1"/>
  <c r="E16" i="6"/>
  <c r="G18" i="6"/>
  <c r="H8" i="6"/>
  <c r="E10" i="6"/>
  <c r="G12" i="6"/>
  <c r="X6" i="5"/>
  <c r="W43" i="2" s="1"/>
  <c r="D8" i="6"/>
  <c r="I13" i="6"/>
  <c r="P13" i="6" s="1"/>
  <c r="F10" i="6"/>
  <c r="E8" i="6"/>
  <c r="X25" i="5"/>
  <c r="E28" i="6"/>
  <c r="K28" i="6" s="1"/>
  <c r="J25" i="5"/>
  <c r="J28" i="6"/>
  <c r="M30" i="5"/>
  <c r="D19" i="6"/>
  <c r="X14" i="5"/>
  <c r="G20" i="6"/>
  <c r="AB14" i="5"/>
  <c r="E12" i="6"/>
  <c r="E21" i="6"/>
  <c r="W25" i="5"/>
  <c r="P25" i="5"/>
  <c r="F27" i="6"/>
  <c r="E18" i="6"/>
  <c r="J18" i="6"/>
  <c r="D10" i="6"/>
  <c r="H10" i="6"/>
  <c r="D13" i="6"/>
  <c r="F1" i="4"/>
  <c r="E3" i="4"/>
  <c r="D25" i="6"/>
  <c r="D3" i="4"/>
  <c r="I20" i="6"/>
  <c r="G31" i="6"/>
  <c r="O7" i="5"/>
  <c r="O6" i="5" s="1"/>
  <c r="N7" i="5"/>
  <c r="M7" i="5"/>
  <c r="AD7" i="5"/>
  <c r="L7" i="5"/>
  <c r="L6" i="5" s="1"/>
  <c r="J7" i="5"/>
  <c r="K7" i="5"/>
  <c r="K6" i="5" s="1"/>
  <c r="T7" i="5"/>
  <c r="T6" i="5" s="1"/>
  <c r="P7" i="5"/>
  <c r="P6" i="5" s="1"/>
  <c r="I17" i="6"/>
  <c r="Z28" i="5"/>
  <c r="D32" i="6"/>
  <c r="H7" i="5"/>
  <c r="D27" i="6"/>
  <c r="D35" i="6"/>
  <c r="I7" i="5"/>
  <c r="I6" i="5" s="1"/>
  <c r="AD28" i="5"/>
  <c r="F34" i="6"/>
  <c r="N30" i="5"/>
  <c r="I16" i="6"/>
  <c r="P32" i="6"/>
  <c r="Q7" i="5"/>
  <c r="Q6" i="5" s="1"/>
  <c r="O30" i="5"/>
  <c r="G27" i="6"/>
  <c r="F31" i="6"/>
  <c r="N28" i="5"/>
  <c r="D34" i="6"/>
  <c r="F32" i="6"/>
  <c r="R7" i="5"/>
  <c r="F8" i="6"/>
  <c r="F25" i="6"/>
  <c r="P30" i="5"/>
  <c r="S7" i="5"/>
  <c r="S6" i="5" s="1"/>
  <c r="G23" i="5"/>
  <c r="V30" i="5"/>
  <c r="U7" i="5"/>
  <c r="U6" i="5" s="1"/>
  <c r="G11" i="6"/>
  <c r="F17" i="6"/>
  <c r="R30" i="5"/>
  <c r="G34" i="6"/>
  <c r="D9" i="6"/>
  <c r="V15" i="5"/>
  <c r="G15" i="6" l="1"/>
  <c r="R14" i="5"/>
  <c r="E15" i="6"/>
  <c r="AD14" i="5"/>
  <c r="J14" i="6" s="1"/>
  <c r="L20" i="6"/>
  <c r="I15" i="6"/>
  <c r="P15" i="6" s="1"/>
  <c r="Z14" i="5"/>
  <c r="N18" i="6"/>
  <c r="M13" i="6"/>
  <c r="L9" i="6"/>
  <c r="R27" i="5"/>
  <c r="O18" i="6"/>
  <c r="K17" i="6"/>
  <c r="H7" i="6"/>
  <c r="D15" i="6"/>
  <c r="K15" i="6" s="1"/>
  <c r="I7" i="6"/>
  <c r="O7" i="6" s="1"/>
  <c r="N25" i="6"/>
  <c r="M16" i="6"/>
  <c r="F15" i="6"/>
  <c r="L15" i="6" s="1"/>
  <c r="L34" i="6"/>
  <c r="P35" i="6"/>
  <c r="V48" i="2"/>
  <c r="N17" i="6"/>
  <c r="S27" i="5"/>
  <c r="M19" i="6"/>
  <c r="K34" i="6"/>
  <c r="F22" i="5"/>
  <c r="O34" i="6"/>
  <c r="O12" i="6"/>
  <c r="L17" i="6"/>
  <c r="N13" i="6"/>
  <c r="M9" i="6"/>
  <c r="M11" i="6"/>
  <c r="U27" i="5"/>
  <c r="M35" i="6"/>
  <c r="L35" i="6"/>
  <c r="L25" i="6"/>
  <c r="P33" i="6"/>
  <c r="Y27" i="5"/>
  <c r="T27" i="5"/>
  <c r="N9" i="6"/>
  <c r="K11" i="6"/>
  <c r="W27" i="5"/>
  <c r="O19" i="6"/>
  <c r="Q27" i="5"/>
  <c r="K20" i="6"/>
  <c r="J27" i="5"/>
  <c r="I27" i="5"/>
  <c r="L27" i="5"/>
  <c r="O9" i="6"/>
  <c r="N8" i="6"/>
  <c r="M28" i="6"/>
  <c r="O25" i="6"/>
  <c r="E27" i="5"/>
  <c r="M34" i="6"/>
  <c r="M8" i="6"/>
  <c r="K16" i="6"/>
  <c r="L19" i="6"/>
  <c r="K31" i="6"/>
  <c r="M32" i="6"/>
  <c r="F27" i="5"/>
  <c r="O31" i="6"/>
  <c r="P27" i="5"/>
  <c r="O20" i="6"/>
  <c r="K8" i="6"/>
  <c r="AA5" i="5"/>
  <c r="X42" i="2"/>
  <c r="K12" i="6"/>
  <c r="P9" i="6"/>
  <c r="I48" i="2"/>
  <c r="O21" i="6"/>
  <c r="K13" i="6"/>
  <c r="L11" i="6"/>
  <c r="N28" i="6"/>
  <c r="G33" i="6"/>
  <c r="O16" i="6"/>
  <c r="H30" i="6"/>
  <c r="F42" i="2"/>
  <c r="H33" i="6"/>
  <c r="O33" i="6" s="1"/>
  <c r="K18" i="6"/>
  <c r="G26" i="6"/>
  <c r="L31" i="6"/>
  <c r="K19" i="6"/>
  <c r="L13" i="6"/>
  <c r="K9" i="6"/>
  <c r="N21" i="6"/>
  <c r="K10" i="6"/>
  <c r="M17" i="6"/>
  <c r="P34" i="6"/>
  <c r="N32" i="6"/>
  <c r="N10" i="6"/>
  <c r="M10" i="6"/>
  <c r="O11" i="6"/>
  <c r="E30" i="6"/>
  <c r="X27" i="5"/>
  <c r="K32" i="6"/>
  <c r="P28" i="6"/>
  <c r="M12" i="6"/>
  <c r="D33" i="6"/>
  <c r="E26" i="6"/>
  <c r="K27" i="5"/>
  <c r="D26" i="6"/>
  <c r="O27" i="5"/>
  <c r="K25" i="6"/>
  <c r="M20" i="6"/>
  <c r="L27" i="6"/>
  <c r="W48" i="2"/>
  <c r="P31" i="6"/>
  <c r="L32" i="6"/>
  <c r="O8" i="6"/>
  <c r="D48" i="2"/>
  <c r="P18" i="6"/>
  <c r="G27" i="5"/>
  <c r="M18" i="6"/>
  <c r="E22" i="5"/>
  <c r="H27" i="5"/>
  <c r="G30" i="6"/>
  <c r="K21" i="6"/>
  <c r="I3" i="5"/>
  <c r="J1" i="5"/>
  <c r="N19" i="6"/>
  <c r="O28" i="6"/>
  <c r="K35" i="6"/>
  <c r="L16" i="6"/>
  <c r="N16" i="6"/>
  <c r="N12" i="6"/>
  <c r="K27" i="6"/>
  <c r="D30" i="6"/>
  <c r="N34" i="6"/>
  <c r="L18" i="6"/>
  <c r="I14" i="6"/>
  <c r="P14" i="6" s="1"/>
  <c r="Y44" i="2"/>
  <c r="Y42" i="2" s="1"/>
  <c r="W5" i="5"/>
  <c r="L21" i="6"/>
  <c r="V42" i="2"/>
  <c r="F14" i="6"/>
  <c r="M44" i="2"/>
  <c r="P20" i="6"/>
  <c r="G14" i="6"/>
  <c r="Q44" i="2"/>
  <c r="X5" i="5"/>
  <c r="W44" i="2"/>
  <c r="W42" i="2" s="1"/>
  <c r="E42" i="2"/>
  <c r="D42" i="2"/>
  <c r="AC5" i="5"/>
  <c r="S5" i="5"/>
  <c r="R43" i="2"/>
  <c r="R42" i="2" s="1"/>
  <c r="L10" i="6"/>
  <c r="Q5" i="5"/>
  <c r="P43" i="2"/>
  <c r="P42" i="2" s="1"/>
  <c r="I5" i="5"/>
  <c r="H43" i="2"/>
  <c r="H42" i="2" s="1"/>
  <c r="O5" i="5"/>
  <c r="N43" i="2"/>
  <c r="N42" i="2" s="1"/>
  <c r="U5" i="5"/>
  <c r="T43" i="2"/>
  <c r="T42" i="2" s="1"/>
  <c r="L8" i="6"/>
  <c r="O13" i="6"/>
  <c r="P5" i="5"/>
  <c r="O43" i="2"/>
  <c r="O42" i="2" s="1"/>
  <c r="AB5" i="5"/>
  <c r="T5" i="5"/>
  <c r="S43" i="2"/>
  <c r="S42" i="2" s="1"/>
  <c r="K5" i="5"/>
  <c r="J43" i="2"/>
  <c r="J42" i="2" s="1"/>
  <c r="N11" i="6"/>
  <c r="L5" i="5"/>
  <c r="K43" i="2"/>
  <c r="K42" i="2" s="1"/>
  <c r="O10" i="6"/>
  <c r="F5" i="5"/>
  <c r="E5" i="5"/>
  <c r="O17" i="6"/>
  <c r="P17" i="6"/>
  <c r="H6" i="6"/>
  <c r="E33" i="6"/>
  <c r="R6" i="5"/>
  <c r="Q43" i="2" s="1"/>
  <c r="G7" i="6"/>
  <c r="E7" i="6"/>
  <c r="J6" i="5"/>
  <c r="I43" i="2" s="1"/>
  <c r="I42" i="2" s="1"/>
  <c r="F26" i="6"/>
  <c r="G5" i="5"/>
  <c r="L28" i="6"/>
  <c r="M6" i="5"/>
  <c r="L43" i="2" s="1"/>
  <c r="L42" i="2" s="1"/>
  <c r="J7" i="6"/>
  <c r="AD6" i="5"/>
  <c r="F7" i="6"/>
  <c r="N6" i="5"/>
  <c r="M43" i="2" s="1"/>
  <c r="Y5" i="5"/>
  <c r="M25" i="6"/>
  <c r="M27" i="5"/>
  <c r="G22" i="5"/>
  <c r="F33" i="6"/>
  <c r="M31" i="6"/>
  <c r="N31" i="6"/>
  <c r="G1" i="4"/>
  <c r="F3" i="4"/>
  <c r="N20" i="6"/>
  <c r="H27" i="6"/>
  <c r="N27" i="6" s="1"/>
  <c r="V14" i="5"/>
  <c r="V5" i="5" s="1"/>
  <c r="H15" i="6"/>
  <c r="N15" i="6" s="1"/>
  <c r="D14" i="6"/>
  <c r="AD27" i="5"/>
  <c r="J29" i="6" s="1"/>
  <c r="J30" i="6"/>
  <c r="V27" i="5"/>
  <c r="I30" i="6"/>
  <c r="Z27" i="5"/>
  <c r="I29" i="6" s="1"/>
  <c r="P16" i="6"/>
  <c r="M27" i="6"/>
  <c r="L12" i="6"/>
  <c r="H6" i="5"/>
  <c r="D7" i="6"/>
  <c r="Z5" i="5"/>
  <c r="I6" i="6"/>
  <c r="E14" i="6"/>
  <c r="F30" i="6"/>
  <c r="N27" i="5"/>
  <c r="M15" i="6" l="1"/>
  <c r="P7" i="6"/>
  <c r="G29" i="6"/>
  <c r="K26" i="6"/>
  <c r="K7" i="6"/>
  <c r="K33" i="6"/>
  <c r="L33" i="6"/>
  <c r="H29" i="6"/>
  <c r="F4" i="5"/>
  <c r="K30" i="6"/>
  <c r="D29" i="6"/>
  <c r="N33" i="6"/>
  <c r="L14" i="6"/>
  <c r="M7" i="6"/>
  <c r="N30" i="6"/>
  <c r="O29" i="6"/>
  <c r="O30" i="6"/>
  <c r="F29" i="6"/>
  <c r="K1" i="5"/>
  <c r="J3" i="5"/>
  <c r="K14" i="6"/>
  <c r="Q42" i="2"/>
  <c r="M14" i="6"/>
  <c r="M42" i="2"/>
  <c r="H14" i="6"/>
  <c r="N14" i="6" s="1"/>
  <c r="U44" i="2"/>
  <c r="U42" i="2" s="1"/>
  <c r="O6" i="6"/>
  <c r="H5" i="5"/>
  <c r="D5" i="6" s="1"/>
  <c r="G43" i="2"/>
  <c r="G42" i="2" s="1"/>
  <c r="E6" i="6"/>
  <c r="J5" i="5"/>
  <c r="E29" i="6"/>
  <c r="K29" i="6" s="1"/>
  <c r="N7" i="6"/>
  <c r="L30" i="6"/>
  <c r="M30" i="6"/>
  <c r="G4" i="5"/>
  <c r="O15" i="6"/>
  <c r="D6" i="6"/>
  <c r="M5" i="5"/>
  <c r="E4" i="5"/>
  <c r="G6" i="6"/>
  <c r="N6" i="6" s="1"/>
  <c r="R5" i="5"/>
  <c r="M33" i="6"/>
  <c r="J6" i="6"/>
  <c r="P6" i="6" s="1"/>
  <c r="AD5" i="5"/>
  <c r="H23" i="5"/>
  <c r="I23" i="5"/>
  <c r="I22" i="5" s="1"/>
  <c r="I4" i="5" s="1"/>
  <c r="P30" i="6"/>
  <c r="H5" i="6"/>
  <c r="F6" i="6"/>
  <c r="N5" i="5"/>
  <c r="L7" i="6"/>
  <c r="L26" i="6"/>
  <c r="M26" i="6"/>
  <c r="G3" i="4"/>
  <c r="H1" i="4"/>
  <c r="P29" i="6"/>
  <c r="I5" i="6"/>
  <c r="Y25" i="5"/>
  <c r="M29" i="6" l="1"/>
  <c r="N29" i="6"/>
  <c r="L6" i="6"/>
  <c r="K3" i="5"/>
  <c r="L1" i="5"/>
  <c r="L29" i="6"/>
  <c r="O14" i="6"/>
  <c r="AA25" i="5"/>
  <c r="O5" i="6"/>
  <c r="Z25" i="5"/>
  <c r="H26" i="6"/>
  <c r="N26" i="6" s="1"/>
  <c r="F5" i="6"/>
  <c r="H3" i="4"/>
  <c r="I1" i="4"/>
  <c r="G5" i="6"/>
  <c r="M6" i="6"/>
  <c r="E5" i="6"/>
  <c r="K5" i="6" s="1"/>
  <c r="D24" i="6"/>
  <c r="H22" i="5"/>
  <c r="D23" i="6"/>
  <c r="J5" i="6"/>
  <c r="P5" i="6" s="1"/>
  <c r="K6" i="6"/>
  <c r="M5" i="6" l="1"/>
  <c r="L3" i="5"/>
  <c r="M1" i="5"/>
  <c r="N5" i="6"/>
  <c r="J23" i="5"/>
  <c r="H4" i="5"/>
  <c r="D22" i="6"/>
  <c r="K23" i="5"/>
  <c r="K22" i="5" s="1"/>
  <c r="K4" i="5" s="1"/>
  <c r="I3" i="4"/>
  <c r="J1" i="4"/>
  <c r="L5" i="6"/>
  <c r="N1" i="5" l="1"/>
  <c r="M3" i="5"/>
  <c r="J3" i="4"/>
  <c r="K1" i="4"/>
  <c r="AB25" i="5"/>
  <c r="AC25" i="5"/>
  <c r="D4" i="6"/>
  <c r="J22" i="5"/>
  <c r="N3" i="5" l="1"/>
  <c r="O1" i="5"/>
  <c r="J4" i="5"/>
  <c r="I27" i="6"/>
  <c r="O27" i="6" s="1"/>
  <c r="I26" i="6"/>
  <c r="O26" i="6" s="1"/>
  <c r="L23" i="5"/>
  <c r="K3" i="4"/>
  <c r="L1" i="4"/>
  <c r="O3" i="5" l="1"/>
  <c r="P1" i="5"/>
  <c r="J27" i="6"/>
  <c r="P27" i="6" s="1"/>
  <c r="AD25" i="5"/>
  <c r="L3" i="4"/>
  <c r="M1" i="4"/>
  <c r="L22" i="5"/>
  <c r="M23" i="5"/>
  <c r="E24" i="6"/>
  <c r="K24" i="6" s="1"/>
  <c r="P3" i="5" l="1"/>
  <c r="Q1" i="5"/>
  <c r="M3" i="4"/>
  <c r="N1" i="4"/>
  <c r="J26" i="6"/>
  <c r="P26" i="6" s="1"/>
  <c r="M22" i="5"/>
  <c r="E23" i="6"/>
  <c r="K23" i="6" s="1"/>
  <c r="L4" i="5"/>
  <c r="E22" i="6"/>
  <c r="K22" i="6" s="1"/>
  <c r="N23" i="5"/>
  <c r="Q3" i="5" l="1"/>
  <c r="R1" i="5"/>
  <c r="N22" i="5"/>
  <c r="O23" i="5"/>
  <c r="O22" i="5" s="1"/>
  <c r="O4" i="5" s="1"/>
  <c r="M4" i="5"/>
  <c r="O1" i="4"/>
  <c r="N3" i="4"/>
  <c r="S1" i="5" l="1"/>
  <c r="R3" i="5"/>
  <c r="P1" i="4"/>
  <c r="O3" i="4"/>
  <c r="E4" i="6"/>
  <c r="K4" i="6" s="1"/>
  <c r="Q23" i="5"/>
  <c r="Q22" i="5" s="1"/>
  <c r="Q4" i="5" s="1"/>
  <c r="P23" i="5"/>
  <c r="N4" i="5"/>
  <c r="F23" i="6" l="1"/>
  <c r="L23" i="6" s="1"/>
  <c r="F24" i="6"/>
  <c r="L24" i="6" s="1"/>
  <c r="S3" i="5"/>
  <c r="T1" i="5"/>
  <c r="P22" i="5"/>
  <c r="Q1" i="4"/>
  <c r="P3" i="4"/>
  <c r="U1" i="5" l="1"/>
  <c r="T3" i="5"/>
  <c r="R1" i="4"/>
  <c r="Q3" i="4"/>
  <c r="S23" i="5"/>
  <c r="S22" i="5" s="1"/>
  <c r="S4" i="5" s="1"/>
  <c r="R23" i="5"/>
  <c r="P4" i="5"/>
  <c r="F22" i="6"/>
  <c r="L22" i="6" s="1"/>
  <c r="U3" i="5" l="1"/>
  <c r="V1" i="5"/>
  <c r="F4" i="6"/>
  <c r="L4" i="6" s="1"/>
  <c r="S1" i="4"/>
  <c r="R3" i="4"/>
  <c r="R22" i="5"/>
  <c r="W1" i="5" l="1"/>
  <c r="V3" i="5"/>
  <c r="R4" i="5"/>
  <c r="T23" i="5"/>
  <c r="U23" i="5"/>
  <c r="U22" i="5" s="1"/>
  <c r="U4" i="5" s="1"/>
  <c r="T1" i="4"/>
  <c r="S3" i="4"/>
  <c r="X1" i="5" l="1"/>
  <c r="W3" i="5"/>
  <c r="U1" i="4"/>
  <c r="T3" i="4"/>
  <c r="T22" i="5"/>
  <c r="G23" i="6"/>
  <c r="M23" i="6" s="1"/>
  <c r="G24" i="6"/>
  <c r="M24" i="6" s="1"/>
  <c r="Y1" i="5" l="1"/>
  <c r="X3" i="5"/>
  <c r="V23" i="5"/>
  <c r="W23" i="5"/>
  <c r="W22" i="5" s="1"/>
  <c r="W4" i="5" s="1"/>
  <c r="T4" i="5"/>
  <c r="G4" i="6" s="1"/>
  <c r="M4" i="6" s="1"/>
  <c r="G22" i="6"/>
  <c r="M22" i="6" s="1"/>
  <c r="U3" i="4"/>
  <c r="V1" i="4"/>
  <c r="Z1" i="5" l="1"/>
  <c r="Y3" i="5"/>
  <c r="W1" i="4"/>
  <c r="V3" i="4"/>
  <c r="V22" i="5"/>
  <c r="Z3" i="5" l="1"/>
  <c r="AA1" i="5"/>
  <c r="X23" i="5"/>
  <c r="V4" i="5"/>
  <c r="X1" i="4"/>
  <c r="W3" i="4"/>
  <c r="AB1" i="5" l="1"/>
  <c r="AA3" i="5"/>
  <c r="Y1" i="4"/>
  <c r="X3" i="4"/>
  <c r="Y23" i="5"/>
  <c r="H24" i="6"/>
  <c r="N24" i="6" s="1"/>
  <c r="X22" i="5"/>
  <c r="H23" i="6"/>
  <c r="N23" i="6" s="1"/>
  <c r="AB3" i="5" l="1"/>
  <c r="AC1" i="5"/>
  <c r="X4" i="5"/>
  <c r="Y22" i="5"/>
  <c r="Z23" i="5"/>
  <c r="Z1" i="4"/>
  <c r="Y3" i="4"/>
  <c r="AD1" i="5" l="1"/>
  <c r="AD3" i="5" s="1"/>
  <c r="AC3" i="5"/>
  <c r="AA23" i="5"/>
  <c r="AA1" i="4"/>
  <c r="Z3" i="4"/>
  <c r="Z22" i="5"/>
  <c r="Y4" i="5"/>
  <c r="H4" i="6" s="1"/>
  <c r="N4" i="6" s="1"/>
  <c r="H22" i="6"/>
  <c r="N22" i="6" s="1"/>
  <c r="AB23" i="5" l="1"/>
  <c r="AC23" i="5"/>
  <c r="AC22" i="5" s="1"/>
  <c r="AC4" i="5" s="1"/>
  <c r="Z4" i="5"/>
  <c r="AA3" i="4"/>
  <c r="AB1" i="4"/>
  <c r="AB3" i="4" s="1"/>
  <c r="AA22" i="5"/>
  <c r="AA4" i="5" l="1"/>
  <c r="I24" i="6"/>
  <c r="O24" i="6" s="1"/>
  <c r="AB22" i="5"/>
  <c r="AB4" i="5" s="1"/>
  <c r="I4" i="6" s="1"/>
  <c r="O4" i="6" s="1"/>
  <c r="I23" i="6"/>
  <c r="O23" i="6" s="1"/>
  <c r="I22" i="6" l="1"/>
  <c r="O22" i="6" s="1"/>
  <c r="AD23" i="5"/>
  <c r="J24" i="6"/>
  <c r="P24" i="6" s="1"/>
  <c r="I13" i="2"/>
  <c r="I27" i="2"/>
  <c r="I39" i="2" s="1"/>
  <c r="H27" i="2"/>
  <c r="H39" i="2" s="1"/>
  <c r="G27" i="2"/>
  <c r="G39" i="2" s="1"/>
  <c r="F27" i="2"/>
  <c r="F39" i="2" s="1"/>
  <c r="E27" i="2"/>
  <c r="E39" i="2" s="1"/>
  <c r="D27" i="2"/>
  <c r="D39" i="2" s="1"/>
  <c r="H13" i="2"/>
  <c r="M31" i="2"/>
  <c r="R31" i="2" s="1"/>
  <c r="W31" i="2" s="1"/>
  <c r="L30" i="2"/>
  <c r="P30" i="2" s="1"/>
  <c r="T30" i="2" s="1"/>
  <c r="X30" i="2" s="1"/>
  <c r="E4" i="2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D54" i="2" l="1"/>
  <c r="D53" i="2"/>
  <c r="D56" i="2" s="1"/>
  <c r="F54" i="2"/>
  <c r="F53" i="2"/>
  <c r="F56" i="2" s="1"/>
  <c r="F58" i="2" s="1"/>
  <c r="F61" i="2" s="1"/>
  <c r="E54" i="2"/>
  <c r="E53" i="2"/>
  <c r="E56" i="2" s="1"/>
  <c r="E58" i="2" s="1"/>
  <c r="E61" i="2" s="1"/>
  <c r="G54" i="2"/>
  <c r="G53" i="2"/>
  <c r="G56" i="2" s="1"/>
  <c r="G58" i="2" s="1"/>
  <c r="G61" i="2" s="1"/>
  <c r="H54" i="2"/>
  <c r="H53" i="2"/>
  <c r="I54" i="2"/>
  <c r="I53" i="2"/>
  <c r="C13" i="2"/>
  <c r="J23" i="6"/>
  <c r="P23" i="6" s="1"/>
  <c r="AD22" i="5"/>
  <c r="L14" i="2"/>
  <c r="L24" i="2" s="1"/>
  <c r="K10" i="2"/>
  <c r="K15" i="2"/>
  <c r="K25" i="2" s="1"/>
  <c r="L11" i="2"/>
  <c r="L10" i="2" s="1"/>
  <c r="L15" i="2"/>
  <c r="L25" i="2" s="1"/>
  <c r="J14" i="2"/>
  <c r="J15" i="2"/>
  <c r="I11" i="2"/>
  <c r="I10" i="2" s="1"/>
  <c r="J11" i="2"/>
  <c r="J10" i="2" s="1"/>
  <c r="H56" i="2" l="1"/>
  <c r="H58" i="2" s="1"/>
  <c r="H61" i="2" s="1"/>
  <c r="I56" i="2"/>
  <c r="I58" i="2" s="1"/>
  <c r="I61" i="2" s="1"/>
  <c r="D58" i="2"/>
  <c r="D61" i="2" s="1"/>
  <c r="K14" i="2"/>
  <c r="K24" i="2" s="1"/>
  <c r="K27" i="2" s="1"/>
  <c r="K39" i="2" s="1"/>
  <c r="J22" i="6"/>
  <c r="P22" i="6" s="1"/>
  <c r="AD4" i="5"/>
  <c r="L27" i="2"/>
  <c r="L39" i="2" s="1"/>
  <c r="J25" i="2"/>
  <c r="J24" i="2"/>
  <c r="M11" i="2"/>
  <c r="M10" i="2" s="1"/>
  <c r="M15" i="2"/>
  <c r="M25" i="2" s="1"/>
  <c r="M14" i="2"/>
  <c r="M24" i="2" s="1"/>
  <c r="K54" i="2" l="1"/>
  <c r="K53" i="2"/>
  <c r="L54" i="2"/>
  <c r="L53" i="2"/>
  <c r="M27" i="2"/>
  <c r="M39" i="2" s="1"/>
  <c r="J4" i="6"/>
  <c r="P4" i="6" s="1"/>
  <c r="J27" i="2"/>
  <c r="J39" i="2" s="1"/>
  <c r="N16" i="2"/>
  <c r="N14" i="2"/>
  <c r="N24" i="2" s="1"/>
  <c r="N11" i="2"/>
  <c r="N10" i="2" s="1"/>
  <c r="N15" i="2"/>
  <c r="N25" i="2" s="1"/>
  <c r="K56" i="2" l="1"/>
  <c r="K58" i="2" s="1"/>
  <c r="K61" i="2" s="1"/>
  <c r="L56" i="2"/>
  <c r="L58" i="2" s="1"/>
  <c r="L61" i="2" s="1"/>
  <c r="J54" i="2"/>
  <c r="J53" i="2"/>
  <c r="J56" i="2" s="1"/>
  <c r="M53" i="2"/>
  <c r="M54" i="2"/>
  <c r="N26" i="2"/>
  <c r="N27" i="2" s="1"/>
  <c r="N39" i="2" s="1"/>
  <c r="O16" i="2"/>
  <c r="O26" i="2" s="1"/>
  <c r="O14" i="2"/>
  <c r="O24" i="2" s="1"/>
  <c r="O11" i="2"/>
  <c r="O10" i="2" s="1"/>
  <c r="O15" i="2"/>
  <c r="O25" i="2" s="1"/>
  <c r="M56" i="2" l="1"/>
  <c r="M58" i="2" s="1"/>
  <c r="M61" i="2" s="1"/>
  <c r="J58" i="2"/>
  <c r="J61" i="2" s="1"/>
  <c r="N54" i="2"/>
  <c r="N53" i="2"/>
  <c r="N56" i="2" s="1"/>
  <c r="O27" i="2"/>
  <c r="O39" i="2" s="1"/>
  <c r="P16" i="2"/>
  <c r="P26" i="2" s="1"/>
  <c r="P14" i="2"/>
  <c r="P11" i="2"/>
  <c r="P10" i="2" s="1"/>
  <c r="P15" i="2"/>
  <c r="N58" i="2" l="1"/>
  <c r="N61" i="2" s="1"/>
  <c r="O54" i="2"/>
  <c r="O53" i="2"/>
  <c r="O56" i="2" s="1"/>
  <c r="O58" i="2" s="1"/>
  <c r="O61" i="2" s="1"/>
  <c r="P24" i="2"/>
  <c r="P25" i="2"/>
  <c r="Q16" i="2"/>
  <c r="Q26" i="2" s="1"/>
  <c r="Q14" i="2"/>
  <c r="Q24" i="2" s="1"/>
  <c r="Q11" i="2"/>
  <c r="Q10" i="2" s="1"/>
  <c r="Q15" i="2"/>
  <c r="P27" i="2" l="1"/>
  <c r="P39" i="2" s="1"/>
  <c r="Q25" i="2"/>
  <c r="Q27" i="2" s="1"/>
  <c r="Q39" i="2" s="1"/>
  <c r="R16" i="2"/>
  <c r="R14" i="2"/>
  <c r="R24" i="2" s="1"/>
  <c r="R11" i="2"/>
  <c r="R10" i="2" s="1"/>
  <c r="R15" i="2"/>
  <c r="R25" i="2" s="1"/>
  <c r="Q54" i="2" l="1"/>
  <c r="Q53" i="2"/>
  <c r="Q56" i="2" s="1"/>
  <c r="Q58" i="2" s="1"/>
  <c r="Q61" i="2" s="1"/>
  <c r="P53" i="2"/>
  <c r="P54" i="2"/>
  <c r="R26" i="2"/>
  <c r="R27" i="2" s="1"/>
  <c r="R39" i="2" s="1"/>
  <c r="S16" i="2"/>
  <c r="S26" i="2" s="1"/>
  <c r="S14" i="2"/>
  <c r="S24" i="2" s="1"/>
  <c r="S11" i="2"/>
  <c r="S10" i="2" s="1"/>
  <c r="S15" i="2"/>
  <c r="S25" i="2" s="1"/>
  <c r="P56" i="2" l="1"/>
  <c r="P58" i="2" s="1"/>
  <c r="P61" i="2" s="1"/>
  <c r="R54" i="2"/>
  <c r="R53" i="2"/>
  <c r="R56" i="2" s="1"/>
  <c r="R58" i="2" s="1"/>
  <c r="R61" i="2" s="1"/>
  <c r="S27" i="2"/>
  <c r="S39" i="2" s="1"/>
  <c r="T16" i="2"/>
  <c r="T26" i="2" s="1"/>
  <c r="T14" i="2"/>
  <c r="T24" i="2" s="1"/>
  <c r="T11" i="2"/>
  <c r="T10" i="2" s="1"/>
  <c r="T15" i="2"/>
  <c r="T25" i="2" s="1"/>
  <c r="S54" i="2" l="1"/>
  <c r="S53" i="2"/>
  <c r="S56" i="2" s="1"/>
  <c r="S58" i="2" s="1"/>
  <c r="S61" i="2" s="1"/>
  <c r="T27" i="2"/>
  <c r="T39" i="2" s="1"/>
  <c r="U11" i="2"/>
  <c r="U10" i="2" s="1"/>
  <c r="U15" i="2"/>
  <c r="U25" i="2" s="1"/>
  <c r="U14" i="2"/>
  <c r="U24" i="2" s="1"/>
  <c r="U16" i="2"/>
  <c r="U26" i="2" s="1"/>
  <c r="T54" i="2" l="1"/>
  <c r="T53" i="2"/>
  <c r="T56" i="2" s="1"/>
  <c r="T58" i="2" s="1"/>
  <c r="T61" i="2" s="1"/>
  <c r="U27" i="2"/>
  <c r="U39" i="2" s="1"/>
  <c r="V11" i="2"/>
  <c r="V10" i="2" s="1"/>
  <c r="V15" i="2"/>
  <c r="V25" i="2" s="1"/>
  <c r="V16" i="2"/>
  <c r="V26" i="2" s="1"/>
  <c r="V14" i="2"/>
  <c r="V24" i="2" s="1"/>
  <c r="U54" i="2" l="1"/>
  <c r="U53" i="2"/>
  <c r="V27" i="2"/>
  <c r="V39" i="2" s="1"/>
  <c r="W15" i="2"/>
  <c r="W25" i="2" s="1"/>
  <c r="W16" i="2"/>
  <c r="W26" i="2" s="1"/>
  <c r="W11" i="2"/>
  <c r="W10" i="2" s="1"/>
  <c r="W14" i="2"/>
  <c r="W24" i="2" s="1"/>
  <c r="U56" i="2" l="1"/>
  <c r="U58" i="2" s="1"/>
  <c r="U61" i="2" s="1"/>
  <c r="V53" i="2"/>
  <c r="V54" i="2"/>
  <c r="W27" i="2"/>
  <c r="W39" i="2" s="1"/>
  <c r="C12" i="2"/>
  <c r="X16" i="2"/>
  <c r="X26" i="2" s="1"/>
  <c r="X15" i="2"/>
  <c r="X25" i="2" s="1"/>
  <c r="X14" i="2"/>
  <c r="X24" i="2" s="1"/>
  <c r="X11" i="2"/>
  <c r="X10" i="2" s="1"/>
  <c r="V56" i="2" l="1"/>
  <c r="V58" i="2" s="1"/>
  <c r="V61" i="2" s="1"/>
  <c r="W54" i="2"/>
  <c r="W53" i="2"/>
  <c r="X27" i="2"/>
  <c r="X39" i="2" s="1"/>
  <c r="Y14" i="2"/>
  <c r="C14" i="2" s="1"/>
  <c r="Y11" i="2"/>
  <c r="Y10" i="2" s="1"/>
  <c r="Y16" i="2"/>
  <c r="C16" i="2" s="1"/>
  <c r="Y15" i="2"/>
  <c r="C15" i="2" s="1"/>
  <c r="W56" i="2" l="1"/>
  <c r="W58" i="2" s="1"/>
  <c r="W61" i="2" s="1"/>
  <c r="X54" i="2"/>
  <c r="X53" i="2"/>
  <c r="Y25" i="2"/>
  <c r="C25" i="2" s="1"/>
  <c r="Y26" i="2"/>
  <c r="C26" i="2" s="1"/>
  <c r="Y24" i="2"/>
  <c r="X56" i="2" l="1"/>
  <c r="X58" i="2" s="1"/>
  <c r="X61" i="2" s="1"/>
  <c r="C24" i="2"/>
  <c r="C27" i="2" s="1"/>
  <c r="Y27" i="2"/>
  <c r="Y39" i="2" s="1"/>
  <c r="Y54" i="2" l="1"/>
  <c r="Y53" i="2"/>
  <c r="Y56" i="2" s="1"/>
  <c r="C56" i="2" s="1"/>
  <c r="Y41" i="2"/>
  <c r="C54" i="2" l="1" a="1"/>
  <c r="C54" i="2" s="1"/>
  <c r="C53" i="2" a="1"/>
  <c r="C53" i="2" s="1"/>
  <c r="C52" i="2" a="1"/>
  <c r="C52" i="2" s="1"/>
  <c r="C51" i="2" a="1"/>
  <c r="C51" i="2" s="1"/>
  <c r="C47" i="2" a="1"/>
  <c r="C47" i="2" s="1"/>
  <c r="C46" i="2" a="1"/>
  <c r="C46" i="2" s="1"/>
  <c r="C44" i="2" a="1"/>
  <c r="C44" i="2" s="1"/>
  <c r="C42" i="2" a="1"/>
  <c r="C42" i="2" s="1"/>
  <c r="C50" i="2" a="1"/>
  <c r="C50" i="2" s="1"/>
  <c r="C49" i="2" a="1"/>
  <c r="C49" i="2" s="1"/>
  <c r="C48" i="2" a="1"/>
  <c r="C48" i="2" s="1"/>
  <c r="C43" i="2" a="1"/>
  <c r="C43" i="2" s="1"/>
  <c r="C45" i="2" a="1"/>
  <c r="C45" i="2" s="1"/>
  <c r="Y58" i="2"/>
  <c r="C76" i="2" s="1"/>
  <c r="Z59" i="2" l="1"/>
  <c r="Y61" i="2"/>
  <c r="Z61" i="2" l="1"/>
  <c r="C77" i="2" s="1"/>
  <c r="D62" i="2" l="1"/>
  <c r="C7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<sst xmlns="http://schemas.openxmlformats.org/spreadsheetml/2006/main" count="233" uniqueCount="108">
  <si>
    <t>Revenue Model &amp; Pricing Assumptions</t>
  </si>
  <si>
    <t>Subscription Plans (SaaS Model)</t>
  </si>
  <si>
    <t>Basic</t>
  </si>
  <si>
    <t>Pro</t>
  </si>
  <si>
    <t>Enterprise</t>
  </si>
  <si>
    <t>GBP / Mth</t>
  </si>
  <si>
    <t>Data Licensing</t>
  </si>
  <si>
    <t>Small Firms</t>
  </si>
  <si>
    <t>GBP / Year</t>
  </si>
  <si>
    <t>Large Institutions</t>
  </si>
  <si>
    <t>API Monetization</t>
  </si>
  <si>
    <t>Per API Call</t>
  </si>
  <si>
    <t>Transaction Fees (Future Expansion)</t>
  </si>
  <si>
    <t>Commission Based</t>
  </si>
  <si>
    <t>Fixed &amp; Variable Cost Assumptions</t>
  </si>
  <si>
    <t>Fixed Costs</t>
  </si>
  <si>
    <t>Office Rent</t>
  </si>
  <si>
    <t>Salaries (Initial Team)</t>
  </si>
  <si>
    <t>Cloud &amp; Server Costs</t>
  </si>
  <si>
    <t>Legal &amp; Compliance</t>
  </si>
  <si>
    <t>Variable Costs</t>
  </si>
  <si>
    <t>Customer Acquisition (Ads, SEO, PR)</t>
  </si>
  <si>
    <t>% of Revenue</t>
  </si>
  <si>
    <t>Data Acquisition &amp; Licensing</t>
  </si>
  <si>
    <t>Per Dataset</t>
  </si>
  <si>
    <t>Support &amp; Maintenance</t>
  </si>
  <si>
    <t>Investment &amp; Funding Assumptions</t>
  </si>
  <si>
    <t>Seed Round Target</t>
  </si>
  <si>
    <t>Use of Funds</t>
  </si>
  <si>
    <t>Product Development (AI, GIS, UX Improvements)</t>
  </si>
  <si>
    <t>Marketing &amp; Sales</t>
  </si>
  <si>
    <t>Team Expansion (Hiring Engineers, analysts, &amp; sales staff)</t>
  </si>
  <si>
    <t>Quarterly Cashflow</t>
  </si>
  <si>
    <t>Revenue Stream</t>
  </si>
  <si>
    <t>Q1</t>
  </si>
  <si>
    <t>Q4</t>
  </si>
  <si>
    <t>Q2</t>
  </si>
  <si>
    <t>Q3</t>
  </si>
  <si>
    <t>FY26</t>
  </si>
  <si>
    <t>FY27</t>
  </si>
  <si>
    <t>FY28</t>
  </si>
  <si>
    <t>FY29</t>
  </si>
  <si>
    <t>FY30</t>
  </si>
  <si>
    <t>FY31</t>
  </si>
  <si>
    <t>FY32</t>
  </si>
  <si>
    <t>FY33</t>
  </si>
  <si>
    <t>SUM</t>
  </si>
  <si>
    <t>Product Development</t>
  </si>
  <si>
    <t>Prototype</t>
  </si>
  <si>
    <t>Fundraising</t>
  </si>
  <si>
    <t>Marketing, Sales, Product Improvement, Expansion</t>
  </si>
  <si>
    <t>Exit</t>
  </si>
  <si>
    <t>Freemium</t>
  </si>
  <si>
    <t>Market Presence</t>
  </si>
  <si>
    <t>Sales &amp; Marketing Plan - No. of Users</t>
  </si>
  <si>
    <t>Total from Subscription</t>
  </si>
  <si>
    <t>Cost Item</t>
  </si>
  <si>
    <t>Pre-Seed Round</t>
  </si>
  <si>
    <t>Seed Round</t>
  </si>
  <si>
    <t>Series A</t>
  </si>
  <si>
    <t>Series B</t>
  </si>
  <si>
    <t>Total (in £ '000)</t>
  </si>
  <si>
    <t>Staff (in £ '000)</t>
  </si>
  <si>
    <t>UK Market</t>
  </si>
  <si>
    <t>Software Engineers</t>
  </si>
  <si>
    <t>Data Scientists</t>
  </si>
  <si>
    <t>HR &amp; Legal</t>
  </si>
  <si>
    <t>Graphic Designers</t>
  </si>
  <si>
    <t>Business Development</t>
  </si>
  <si>
    <t>Marketing Manager</t>
  </si>
  <si>
    <t>Business Analyst</t>
  </si>
  <si>
    <t>US Market</t>
  </si>
  <si>
    <t>Technology Cost (in £ '000)</t>
  </si>
  <si>
    <t>New Customer Acquistion (B2C)</t>
  </si>
  <si>
    <t>Cloud Services</t>
  </si>
  <si>
    <t>Rent</t>
  </si>
  <si>
    <t>Utilities and Maintenance</t>
  </si>
  <si>
    <t>Stage</t>
  </si>
  <si>
    <t>Seed-Round</t>
  </si>
  <si>
    <t>Cost Item/# of Units</t>
  </si>
  <si>
    <t>Staff</t>
  </si>
  <si>
    <t>US Market*</t>
  </si>
  <si>
    <t>Technology Cost</t>
  </si>
  <si>
    <t>Physical Office</t>
  </si>
  <si>
    <t>* Assuming same size as UK Market operating at efficiency.</t>
  </si>
  <si>
    <t>** Assuming 10% 1 Month Retention Rate &amp; 5% 2 Months Retention &amp; 3% 3 Months Retention</t>
  </si>
  <si>
    <t>Cost per Unit</t>
  </si>
  <si>
    <t>Annual Costs</t>
  </si>
  <si>
    <t>(in £ '000)</t>
  </si>
  <si>
    <t>(YoY %)</t>
  </si>
  <si>
    <t>Costing</t>
  </si>
  <si>
    <t>Total Revenue</t>
  </si>
  <si>
    <t>Total Cost</t>
  </si>
  <si>
    <t>Terminal Value</t>
  </si>
  <si>
    <t>Exit Multiple</t>
  </si>
  <si>
    <t>Userbase QoQ Growth Rate</t>
  </si>
  <si>
    <t>Data Acquistion &amp; Licensing</t>
  </si>
  <si>
    <t>Customer Acquisition</t>
  </si>
  <si>
    <t>Discount Rate</t>
  </si>
  <si>
    <t>NCF for NPV</t>
  </si>
  <si>
    <t>NPV (In Million GBP) (excluding taxes)</t>
  </si>
  <si>
    <t>NCF (EBITDA + Capex)</t>
  </si>
  <si>
    <t>GANTT Chart</t>
  </si>
  <si>
    <t>Pre-seed</t>
  </si>
  <si>
    <t>Funding Plan</t>
  </si>
  <si>
    <t>Terminal Cashflow</t>
  </si>
  <si>
    <t>Net Present Value</t>
  </si>
  <si>
    <t>DCF Valuation  (Income Based)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</si>
</sst>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£-809]#,##0.00"/>
    <numFmt numFmtId="165" formatCode="[$£-809]#,##0"/>
    <numFmt numFmtId="166" formatCode="#,###,"/>
    <numFmt numFmtId="167" formatCode="_-* #,##0.00_-;\-* #,##0.00_-;_-* &quot;-&quot;??_-;_-@_-"/>
    <numFmt numFmtId="168" formatCode="_-* #,##0_-;\-* #,##0_-;_-* &quot;-&quot;??_-;_-@_-"/>
    <numFmt numFmtId="169" formatCode="#,###.00,"/>
    <numFmt numFmtId="170" formatCode="#,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2" borderId="0" xfId="0" applyFont="1" applyFill="1"/>
    <xf numFmtId="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165" fontId="0" fillId="0" borderId="0" xfId="0" applyNumberFormat="1" applyAlignment="1">
      <alignment horizontal="center" vertical="center"/>
    </xf>
    <xf numFmtId="0" fontId="2" fillId="4" borderId="0" xfId="0" applyFont="1" applyFill="1" applyAlignment="1">
      <alignment horizontal="left"/>
    </xf>
    <xf numFmtId="9" fontId="0" fillId="0" borderId="0" xfId="1" applyFont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3" xfId="1" applyFont="1" applyFill="1" applyBorder="1" applyAlignment="1">
      <alignment horizontal="center"/>
    </xf>
    <xf numFmtId="17" fontId="2" fillId="4" borderId="5" xfId="0" applyNumberFormat="1" applyFont="1" applyFill="1" applyBorder="1" applyAlignment="1">
      <alignment horizontal="center"/>
    </xf>
    <xf numFmtId="17" fontId="2" fillId="4" borderId="6" xfId="0" applyNumberFormat="1" applyFont="1" applyFill="1" applyBorder="1" applyAlignment="1">
      <alignment horizontal="center"/>
    </xf>
    <xf numFmtId="17" fontId="2" fillId="4" borderId="7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/>
    <xf numFmtId="9" fontId="4" fillId="0" borderId="1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6" fillId="5" borderId="21" xfId="0" applyFont="1" applyFill="1" applyBorder="1" applyAlignment="1">
      <alignment horizontal="left" indent="2"/>
    </xf>
    <xf numFmtId="166" fontId="6" fillId="5" borderId="22" xfId="0" applyNumberFormat="1" applyFont="1" applyFill="1" applyBorder="1" applyAlignment="1">
      <alignment horizontal="right"/>
    </xf>
    <xf numFmtId="0" fontId="0" fillId="0" borderId="19" xfId="0" applyBorder="1" applyAlignment="1">
      <alignment horizontal="left" indent="3"/>
    </xf>
    <xf numFmtId="166" fontId="0" fillId="0" borderId="20" xfId="2" applyNumberFormat="1" applyFont="1" applyBorder="1" applyAlignment="1">
      <alignment horizontal="right"/>
    </xf>
    <xf numFmtId="166" fontId="6" fillId="5" borderId="22" xfId="2" applyNumberFormat="1" applyFont="1" applyFill="1" applyBorder="1" applyAlignment="1">
      <alignment horizontal="right"/>
    </xf>
    <xf numFmtId="166" fontId="0" fillId="0" borderId="25" xfId="2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5" fillId="2" borderId="16" xfId="0" applyFont="1" applyFill="1" applyBorder="1"/>
    <xf numFmtId="1" fontId="5" fillId="2" borderId="30" xfId="0" applyNumberFormat="1" applyFont="1" applyFill="1" applyBorder="1" applyAlignment="1">
      <alignment horizontal="right"/>
    </xf>
    <xf numFmtId="1" fontId="5" fillId="2" borderId="31" xfId="0" applyNumberFormat="1" applyFont="1" applyFill="1" applyBorder="1" applyAlignment="1">
      <alignment horizontal="right"/>
    </xf>
    <xf numFmtId="1" fontId="5" fillId="2" borderId="32" xfId="0" applyNumberFormat="1" applyFont="1" applyFill="1" applyBorder="1" applyAlignment="1">
      <alignment horizontal="right"/>
    </xf>
    <xf numFmtId="1" fontId="5" fillId="2" borderId="33" xfId="0" applyNumberFormat="1" applyFont="1" applyFill="1" applyBorder="1" applyAlignment="1">
      <alignment horizontal="right"/>
    </xf>
    <xf numFmtId="0" fontId="6" fillId="6" borderId="16" xfId="0" applyFont="1" applyFill="1" applyBorder="1" applyAlignment="1">
      <alignment horizontal="left" indent="1"/>
    </xf>
    <xf numFmtId="1" fontId="5" fillId="6" borderId="16" xfId="0" applyNumberFormat="1" applyFont="1" applyFill="1" applyBorder="1" applyAlignment="1">
      <alignment horizontal="right"/>
    </xf>
    <xf numFmtId="1" fontId="5" fillId="6" borderId="18" xfId="0" applyNumberFormat="1" applyFont="1" applyFill="1" applyBorder="1" applyAlignment="1">
      <alignment horizontal="right"/>
    </xf>
    <xf numFmtId="1" fontId="5" fillId="6" borderId="17" xfId="0" applyNumberFormat="1" applyFont="1" applyFill="1" applyBorder="1" applyAlignment="1">
      <alignment horizontal="right"/>
    </xf>
    <xf numFmtId="0" fontId="6" fillId="5" borderId="10" xfId="0" applyFont="1" applyFill="1" applyBorder="1" applyAlignment="1">
      <alignment horizontal="left" indent="2"/>
    </xf>
    <xf numFmtId="1" fontId="6" fillId="5" borderId="34" xfId="0" applyNumberFormat="1" applyFont="1" applyFill="1" applyBorder="1" applyAlignment="1">
      <alignment horizontal="right"/>
    </xf>
    <xf numFmtId="1" fontId="6" fillId="5" borderId="35" xfId="0" applyNumberFormat="1" applyFont="1" applyFill="1" applyBorder="1" applyAlignment="1">
      <alignment horizontal="right"/>
    </xf>
    <xf numFmtId="1" fontId="6" fillId="5" borderId="11" xfId="0" applyNumberFormat="1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0" xfId="0" applyAlignment="1">
      <alignment horizontal="right"/>
    </xf>
    <xf numFmtId="167" fontId="0" fillId="0" borderId="19" xfId="2" applyFont="1" applyBorder="1" applyAlignment="1">
      <alignment horizontal="right"/>
    </xf>
    <xf numFmtId="167" fontId="0" fillId="0" borderId="20" xfId="2" applyFont="1" applyBorder="1" applyAlignment="1">
      <alignment horizontal="right"/>
    </xf>
    <xf numFmtId="0" fontId="6" fillId="5" borderId="36" xfId="0" applyFont="1" applyFill="1" applyBorder="1" applyAlignment="1">
      <alignment horizontal="left" indent="2"/>
    </xf>
    <xf numFmtId="1" fontId="6" fillId="5" borderId="21" xfId="0" applyNumberFormat="1" applyFont="1" applyFill="1" applyBorder="1" applyAlignment="1">
      <alignment horizontal="right"/>
    </xf>
    <xf numFmtId="1" fontId="6" fillId="5" borderId="23" xfId="0" applyNumberFormat="1" applyFont="1" applyFill="1" applyBorder="1" applyAlignment="1">
      <alignment horizontal="right"/>
    </xf>
    <xf numFmtId="1" fontId="6" fillId="5" borderId="4" xfId="0" applyNumberFormat="1" applyFont="1" applyFill="1" applyBorder="1" applyAlignment="1">
      <alignment horizontal="right"/>
    </xf>
    <xf numFmtId="167" fontId="0" fillId="0" borderId="0" xfId="2" applyFont="1" applyBorder="1" applyAlignment="1">
      <alignment horizontal="right"/>
    </xf>
    <xf numFmtId="168" fontId="0" fillId="0" borderId="19" xfId="2" applyNumberFormat="1" applyFont="1" applyBorder="1" applyAlignment="1">
      <alignment horizontal="right"/>
    </xf>
    <xf numFmtId="168" fontId="0" fillId="0" borderId="20" xfId="2" applyNumberFormat="1" applyFont="1" applyBorder="1" applyAlignment="1">
      <alignment horizontal="right"/>
    </xf>
    <xf numFmtId="168" fontId="0" fillId="0" borderId="0" xfId="2" applyNumberFormat="1" applyFont="1" applyBorder="1" applyAlignment="1">
      <alignment horizontal="right"/>
    </xf>
    <xf numFmtId="0" fontId="6" fillId="5" borderId="34" xfId="0" applyFont="1" applyFill="1" applyBorder="1" applyAlignment="1">
      <alignment horizontal="left" indent="2"/>
    </xf>
    <xf numFmtId="167" fontId="0" fillId="0" borderId="25" xfId="2" applyFont="1" applyBorder="1" applyAlignment="1">
      <alignment horizontal="right"/>
    </xf>
    <xf numFmtId="167" fontId="0" fillId="0" borderId="37" xfId="2" applyFont="1" applyBorder="1" applyAlignment="1">
      <alignment horizontal="right"/>
    </xf>
    <xf numFmtId="0" fontId="0" fillId="0" borderId="0" xfId="0" applyAlignment="1">
      <alignment horizontal="left"/>
    </xf>
    <xf numFmtId="0" fontId="5" fillId="2" borderId="26" xfId="0" applyFont="1" applyFill="1" applyBorder="1"/>
    <xf numFmtId="0" fontId="5" fillId="2" borderId="38" xfId="0" applyFont="1" applyFill="1" applyBorder="1" applyAlignment="1">
      <alignment horizontal="right"/>
    </xf>
    <xf numFmtId="1" fontId="5" fillId="2" borderId="38" xfId="0" applyNumberFormat="1" applyFont="1" applyFill="1" applyBorder="1" applyAlignment="1">
      <alignment horizontal="right"/>
    </xf>
    <xf numFmtId="1" fontId="5" fillId="2" borderId="28" xfId="0" applyNumberFormat="1" applyFont="1" applyFill="1" applyBorder="1" applyAlignment="1">
      <alignment horizontal="right"/>
    </xf>
    <xf numFmtId="0" fontId="5" fillId="3" borderId="39" xfId="0" applyFont="1" applyFill="1" applyBorder="1"/>
    <xf numFmtId="0" fontId="5" fillId="3" borderId="17" xfId="0" applyFont="1" applyFill="1" applyBorder="1" applyAlignment="1">
      <alignment horizontal="right"/>
    </xf>
    <xf numFmtId="169" fontId="5" fillId="3" borderId="17" xfId="0" applyNumberFormat="1" applyFont="1" applyFill="1" applyBorder="1" applyAlignment="1">
      <alignment horizontal="right"/>
    </xf>
    <xf numFmtId="169" fontId="5" fillId="3" borderId="18" xfId="0" applyNumberFormat="1" applyFont="1" applyFill="1" applyBorder="1" applyAlignment="1">
      <alignment horizontal="right"/>
    </xf>
    <xf numFmtId="0" fontId="6" fillId="6" borderId="29" xfId="0" applyFont="1" applyFill="1" applyBorder="1" applyAlignment="1">
      <alignment horizontal="left" indent="1"/>
    </xf>
    <xf numFmtId="1" fontId="6" fillId="6" borderId="29" xfId="0" applyNumberFormat="1" applyFont="1" applyFill="1" applyBorder="1" applyAlignment="1">
      <alignment horizontal="right"/>
    </xf>
    <xf numFmtId="170" fontId="6" fillId="6" borderId="38" xfId="0" applyNumberFormat="1" applyFont="1" applyFill="1" applyBorder="1" applyAlignment="1">
      <alignment horizontal="right"/>
    </xf>
    <xf numFmtId="170" fontId="6" fillId="6" borderId="28" xfId="0" applyNumberFormat="1" applyFont="1" applyFill="1" applyBorder="1" applyAlignment="1">
      <alignment horizontal="right"/>
    </xf>
    <xf numFmtId="0" fontId="6" fillId="5" borderId="40" xfId="0" applyFont="1" applyFill="1" applyBorder="1" applyAlignment="1">
      <alignment horizontal="left" indent="2"/>
    </xf>
    <xf numFmtId="1" fontId="6" fillId="5" borderId="40" xfId="0" applyNumberFormat="1" applyFont="1" applyFill="1" applyBorder="1" applyAlignment="1">
      <alignment horizontal="right"/>
    </xf>
    <xf numFmtId="170" fontId="6" fillId="5" borderId="4" xfId="0" applyNumberFormat="1" applyFont="1" applyFill="1" applyBorder="1" applyAlignment="1">
      <alignment horizontal="right"/>
    </xf>
    <xf numFmtId="170" fontId="6" fillId="5" borderId="23" xfId="0" applyNumberFormat="1" applyFont="1" applyFill="1" applyBorder="1" applyAlignment="1">
      <alignment horizontal="right"/>
    </xf>
    <xf numFmtId="170" fontId="6" fillId="5" borderId="22" xfId="0" applyNumberFormat="1" applyFont="1" applyFill="1" applyBorder="1" applyAlignment="1">
      <alignment horizontal="right"/>
    </xf>
    <xf numFmtId="0" fontId="0" fillId="0" borderId="41" xfId="0" applyBorder="1" applyAlignment="1">
      <alignment horizontal="left" indent="3"/>
    </xf>
    <xf numFmtId="170" fontId="0" fillId="0" borderId="41" xfId="0" applyNumberFormat="1" applyBorder="1" applyAlignment="1">
      <alignment horizontal="right"/>
    </xf>
    <xf numFmtId="170" fontId="0" fillId="0" borderId="0" xfId="0" applyNumberFormat="1" applyAlignment="1">
      <alignment horizontal="right"/>
    </xf>
    <xf numFmtId="170" fontId="0" fillId="0" borderId="20" xfId="0" applyNumberFormat="1" applyBorder="1" applyAlignment="1">
      <alignment horizontal="right"/>
    </xf>
    <xf numFmtId="167" fontId="6" fillId="5" borderId="4" xfId="2" applyFont="1" applyFill="1" applyBorder="1" applyAlignment="1">
      <alignment horizontal="right"/>
    </xf>
    <xf numFmtId="167" fontId="6" fillId="5" borderId="23" xfId="2" applyFont="1" applyFill="1" applyBorder="1" applyAlignment="1">
      <alignment horizontal="right"/>
    </xf>
    <xf numFmtId="0" fontId="0" fillId="0" borderId="42" xfId="0" applyBorder="1" applyAlignment="1">
      <alignment horizontal="left" indent="3"/>
    </xf>
    <xf numFmtId="170" fontId="0" fillId="0" borderId="42" xfId="0" applyNumberFormat="1" applyBorder="1" applyAlignment="1">
      <alignment horizontal="right"/>
    </xf>
    <xf numFmtId="170" fontId="0" fillId="0" borderId="37" xfId="0" applyNumberFormat="1" applyBorder="1" applyAlignment="1">
      <alignment horizontal="right"/>
    </xf>
    <xf numFmtId="170" fontId="0" fillId="0" borderId="25" xfId="0" applyNumberFormat="1" applyBorder="1" applyAlignment="1">
      <alignment horizontal="right"/>
    </xf>
    <xf numFmtId="0" fontId="6" fillId="6" borderId="39" xfId="0" applyFont="1" applyFill="1" applyBorder="1" applyAlignment="1">
      <alignment horizontal="left" indent="1"/>
    </xf>
    <xf numFmtId="166" fontId="6" fillId="6" borderId="39" xfId="0" applyNumberFormat="1" applyFont="1" applyFill="1" applyBorder="1" applyAlignment="1">
      <alignment horizontal="right"/>
    </xf>
    <xf numFmtId="166" fontId="6" fillId="6" borderId="17" xfId="0" applyNumberFormat="1" applyFont="1" applyFill="1" applyBorder="1" applyAlignment="1">
      <alignment horizontal="right"/>
    </xf>
    <xf numFmtId="166" fontId="6" fillId="6" borderId="18" xfId="0" applyNumberFormat="1" applyFont="1" applyFill="1" applyBorder="1" applyAlignment="1">
      <alignment horizontal="right"/>
    </xf>
    <xf numFmtId="0" fontId="6" fillId="5" borderId="43" xfId="0" applyFont="1" applyFill="1" applyBorder="1" applyAlignment="1">
      <alignment horizontal="left" indent="2"/>
    </xf>
    <xf numFmtId="166" fontId="6" fillId="5" borderId="43" xfId="0" applyNumberFormat="1" applyFont="1" applyFill="1" applyBorder="1" applyAlignment="1">
      <alignment horizontal="right"/>
    </xf>
    <xf numFmtId="166" fontId="6" fillId="5" borderId="11" xfId="0" applyNumberFormat="1" applyFont="1" applyFill="1" applyBorder="1" applyAlignment="1">
      <alignment horizontal="right"/>
    </xf>
    <xf numFmtId="166" fontId="6" fillId="5" borderId="35" xfId="0" applyNumberFormat="1" applyFont="1" applyFill="1" applyBorder="1" applyAlignment="1">
      <alignment horizontal="right"/>
    </xf>
    <xf numFmtId="166" fontId="6" fillId="5" borderId="12" xfId="0" applyNumberFormat="1" applyFont="1" applyFill="1" applyBorder="1" applyAlignment="1">
      <alignment horizontal="right"/>
    </xf>
    <xf numFmtId="168" fontId="0" fillId="0" borderId="41" xfId="2" applyNumberFormat="1" applyFont="1" applyBorder="1" applyAlignment="1">
      <alignment horizontal="right"/>
    </xf>
    <xf numFmtId="166" fontId="0" fillId="0" borderId="0" xfId="2" applyNumberFormat="1" applyFont="1" applyBorder="1" applyAlignment="1">
      <alignment horizontal="right"/>
    </xf>
    <xf numFmtId="166" fontId="6" fillId="5" borderId="40" xfId="0" applyNumberFormat="1" applyFont="1" applyFill="1" applyBorder="1" applyAlignment="1">
      <alignment horizontal="right"/>
    </xf>
    <xf numFmtId="166" fontId="6" fillId="5" borderId="4" xfId="0" applyNumberFormat="1" applyFont="1" applyFill="1" applyBorder="1" applyAlignment="1">
      <alignment horizontal="right"/>
    </xf>
    <xf numFmtId="166" fontId="0" fillId="0" borderId="42" xfId="0" applyNumberFormat="1" applyBorder="1" applyAlignment="1">
      <alignment horizontal="right"/>
    </xf>
    <xf numFmtId="166" fontId="0" fillId="0" borderId="37" xfId="2" applyNumberFormat="1" applyFont="1" applyBorder="1" applyAlignment="1">
      <alignment horizontal="right"/>
    </xf>
    <xf numFmtId="1" fontId="6" fillId="6" borderId="39" xfId="0" applyNumberFormat="1" applyFont="1" applyFill="1" applyBorder="1" applyAlignment="1">
      <alignment horizontal="right"/>
    </xf>
    <xf numFmtId="170" fontId="6" fillId="6" borderId="17" xfId="0" applyNumberFormat="1" applyFont="1" applyFill="1" applyBorder="1" applyAlignment="1">
      <alignment horizontal="right"/>
    </xf>
    <xf numFmtId="170" fontId="6" fillId="6" borderId="18" xfId="0" applyNumberFormat="1" applyFont="1" applyFill="1" applyBorder="1" applyAlignment="1">
      <alignment horizontal="right"/>
    </xf>
    <xf numFmtId="1" fontId="6" fillId="5" borderId="43" xfId="0" applyNumberFormat="1" applyFont="1" applyFill="1" applyBorder="1" applyAlignment="1">
      <alignment horizontal="right"/>
    </xf>
    <xf numFmtId="166" fontId="6" fillId="5" borderId="11" xfId="2" applyNumberFormat="1" applyFont="1" applyFill="1" applyBorder="1" applyAlignment="1">
      <alignment horizontal="right"/>
    </xf>
    <xf numFmtId="166" fontId="6" fillId="5" borderId="35" xfId="2" applyNumberFormat="1" applyFont="1" applyFill="1" applyBorder="1" applyAlignment="1">
      <alignment horizontal="right"/>
    </xf>
    <xf numFmtId="166" fontId="6" fillId="5" borderId="12" xfId="2" applyNumberFormat="1" applyFont="1" applyFill="1" applyBorder="1" applyAlignment="1">
      <alignment horizontal="right"/>
    </xf>
    <xf numFmtId="166" fontId="6" fillId="5" borderId="4" xfId="2" applyNumberFormat="1" applyFont="1" applyFill="1" applyBorder="1" applyAlignment="1">
      <alignment horizontal="right"/>
    </xf>
    <xf numFmtId="0" fontId="5" fillId="2" borderId="29" xfId="0" applyFont="1" applyFill="1" applyBorder="1"/>
    <xf numFmtId="1" fontId="5" fillId="2" borderId="27" xfId="0" applyNumberFormat="1" applyFont="1" applyFill="1" applyBorder="1" applyAlignment="1">
      <alignment horizontal="right"/>
    </xf>
    <xf numFmtId="1" fontId="5" fillId="2" borderId="14" xfId="0" applyNumberFormat="1" applyFont="1" applyFill="1" applyBorder="1" applyAlignment="1">
      <alignment horizontal="right"/>
    </xf>
    <xf numFmtId="1" fontId="5" fillId="2" borderId="44" xfId="0" applyNumberFormat="1" applyFont="1" applyFill="1" applyBorder="1" applyAlignment="1">
      <alignment horizontal="right"/>
    </xf>
    <xf numFmtId="1" fontId="5" fillId="2" borderId="13" xfId="0" applyNumberFormat="1" applyFont="1" applyFill="1" applyBorder="1" applyAlignment="1">
      <alignment horizontal="right"/>
    </xf>
    <xf numFmtId="1" fontId="5" fillId="2" borderId="15" xfId="0" applyNumberFormat="1" applyFont="1" applyFill="1" applyBorder="1" applyAlignment="1">
      <alignment horizontal="right"/>
    </xf>
    <xf numFmtId="0" fontId="5" fillId="3" borderId="29" xfId="0" applyFont="1" applyFill="1" applyBorder="1"/>
    <xf numFmtId="166" fontId="7" fillId="3" borderId="38" xfId="0" applyNumberFormat="1" applyFont="1" applyFill="1" applyBorder="1" applyAlignment="1">
      <alignment horizontal="right"/>
    </xf>
    <xf numFmtId="9" fontId="8" fillId="3" borderId="26" xfId="1" applyFont="1" applyFill="1" applyBorder="1" applyAlignment="1">
      <alignment horizontal="right"/>
    </xf>
    <xf numFmtId="9" fontId="8" fillId="3" borderId="38" xfId="1" applyFont="1" applyFill="1" applyBorder="1" applyAlignment="1">
      <alignment horizontal="right"/>
    </xf>
    <xf numFmtId="9" fontId="8" fillId="3" borderId="28" xfId="1" applyFont="1" applyFill="1" applyBorder="1" applyAlignment="1">
      <alignment horizontal="right"/>
    </xf>
    <xf numFmtId="0" fontId="6" fillId="6" borderId="45" xfId="0" applyFont="1" applyFill="1" applyBorder="1" applyAlignment="1">
      <alignment horizontal="left" indent="1"/>
    </xf>
    <xf numFmtId="166" fontId="9" fillId="6" borderId="46" xfId="0" applyNumberFormat="1" applyFont="1" applyFill="1" applyBorder="1" applyAlignment="1">
      <alignment horizontal="right"/>
    </xf>
    <xf numFmtId="9" fontId="10" fillId="6" borderId="47" xfId="1" applyFont="1" applyFill="1" applyBorder="1" applyAlignment="1">
      <alignment horizontal="right"/>
    </xf>
    <xf numFmtId="9" fontId="10" fillId="6" borderId="46" xfId="1" applyFont="1" applyFill="1" applyBorder="1" applyAlignment="1">
      <alignment horizontal="right"/>
    </xf>
    <xf numFmtId="9" fontId="10" fillId="6" borderId="48" xfId="1" applyFont="1" applyFill="1" applyBorder="1" applyAlignment="1">
      <alignment horizontal="right"/>
    </xf>
    <xf numFmtId="166" fontId="9" fillId="5" borderId="4" xfId="0" applyNumberFormat="1" applyFont="1" applyFill="1" applyBorder="1" applyAlignment="1">
      <alignment horizontal="right"/>
    </xf>
    <xf numFmtId="9" fontId="10" fillId="5" borderId="21" xfId="1" applyFont="1" applyFill="1" applyBorder="1" applyAlignment="1">
      <alignment horizontal="right"/>
    </xf>
    <xf numFmtId="9" fontId="10" fillId="5" borderId="4" xfId="1" applyFont="1" applyFill="1" applyBorder="1" applyAlignment="1">
      <alignment horizontal="right"/>
    </xf>
    <xf numFmtId="9" fontId="10" fillId="5" borderId="22" xfId="1" applyFont="1" applyFill="1" applyBorder="1" applyAlignment="1">
      <alignment horizontal="right"/>
    </xf>
    <xf numFmtId="166" fontId="11" fillId="0" borderId="0" xfId="0" applyNumberFormat="1" applyFont="1" applyAlignment="1">
      <alignment horizontal="right"/>
    </xf>
    <xf numFmtId="9" fontId="12" fillId="0" borderId="19" xfId="1" applyFont="1" applyBorder="1" applyAlignment="1">
      <alignment horizontal="right"/>
    </xf>
    <xf numFmtId="9" fontId="12" fillId="0" borderId="0" xfId="1" applyFont="1" applyBorder="1" applyAlignment="1">
      <alignment horizontal="right"/>
    </xf>
    <xf numFmtId="9" fontId="12" fillId="0" borderId="20" xfId="1" applyFont="1" applyBorder="1" applyAlignment="1">
      <alignment horizontal="right"/>
    </xf>
    <xf numFmtId="166" fontId="11" fillId="0" borderId="0" xfId="2" applyNumberFormat="1" applyFont="1" applyBorder="1" applyAlignment="1">
      <alignment horizontal="right"/>
    </xf>
    <xf numFmtId="166" fontId="9" fillId="5" borderId="4" xfId="2" applyNumberFormat="1" applyFont="1" applyFill="1" applyBorder="1" applyAlignment="1">
      <alignment horizontal="right"/>
    </xf>
    <xf numFmtId="166" fontId="11" fillId="0" borderId="37" xfId="2" applyNumberFormat="1" applyFont="1" applyBorder="1" applyAlignment="1">
      <alignment horizontal="right"/>
    </xf>
    <xf numFmtId="9" fontId="12" fillId="0" borderId="24" xfId="1" applyFont="1" applyBorder="1" applyAlignment="1">
      <alignment horizontal="right"/>
    </xf>
    <xf numFmtId="9" fontId="12" fillId="0" borderId="37" xfId="1" applyFont="1" applyBorder="1" applyAlignment="1">
      <alignment horizontal="right"/>
    </xf>
    <xf numFmtId="9" fontId="12" fillId="0" borderId="25" xfId="1" applyFont="1" applyBorder="1" applyAlignment="1">
      <alignment horizontal="right"/>
    </xf>
    <xf numFmtId="166" fontId="9" fillId="6" borderId="38" xfId="0" applyNumberFormat="1" applyFont="1" applyFill="1" applyBorder="1" applyAlignment="1">
      <alignment horizontal="right"/>
    </xf>
    <xf numFmtId="9" fontId="10" fillId="6" borderId="26" xfId="1" applyFont="1" applyFill="1" applyBorder="1" applyAlignment="1">
      <alignment horizontal="right"/>
    </xf>
    <xf numFmtId="9" fontId="10" fillId="6" borderId="38" xfId="1" applyFont="1" applyFill="1" applyBorder="1" applyAlignment="1">
      <alignment horizontal="right"/>
    </xf>
    <xf numFmtId="9" fontId="10" fillId="6" borderId="28" xfId="1" applyFont="1" applyFill="1" applyBorder="1" applyAlignment="1">
      <alignment horizontal="right"/>
    </xf>
    <xf numFmtId="0" fontId="6" fillId="6" borderId="41" xfId="0" applyFont="1" applyFill="1" applyBorder="1" applyAlignment="1">
      <alignment horizontal="left" indent="1"/>
    </xf>
    <xf numFmtId="166" fontId="9" fillId="6" borderId="0" xfId="0" applyNumberFormat="1" applyFont="1" applyFill="1" applyAlignment="1">
      <alignment horizontal="right"/>
    </xf>
    <xf numFmtId="9" fontId="10" fillId="6" borderId="19" xfId="1" applyFont="1" applyFill="1" applyBorder="1" applyAlignment="1">
      <alignment horizontal="right"/>
    </xf>
    <xf numFmtId="9" fontId="10" fillId="6" borderId="0" xfId="1" applyFont="1" applyFill="1" applyBorder="1" applyAlignment="1">
      <alignment horizontal="right"/>
    </xf>
    <xf numFmtId="9" fontId="10" fillId="6" borderId="20" xfId="1" applyFont="1" applyFill="1" applyBorder="1" applyAlignment="1">
      <alignment horizontal="right"/>
    </xf>
    <xf numFmtId="0" fontId="2" fillId="4" borderId="0" xfId="0" applyFont="1" applyFill="1"/>
    <xf numFmtId="0" fontId="5" fillId="4" borderId="29" xfId="0" applyFont="1" applyFill="1" applyBorder="1"/>
    <xf numFmtId="1" fontId="5" fillId="4" borderId="16" xfId="0" applyNumberFormat="1" applyFont="1" applyFill="1" applyBorder="1" applyAlignment="1">
      <alignment horizontal="center"/>
    </xf>
    <xf numFmtId="1" fontId="5" fillId="4" borderId="18" xfId="0" applyNumberFormat="1" applyFont="1" applyFill="1" applyBorder="1" applyAlignment="1">
      <alignment horizontal="center"/>
    </xf>
    <xf numFmtId="1" fontId="5" fillId="4" borderId="17" xfId="0" applyNumberFormat="1" applyFont="1" applyFill="1" applyBorder="1" applyAlignment="1">
      <alignment horizontal="center"/>
    </xf>
    <xf numFmtId="0" fontId="5" fillId="4" borderId="19" xfId="0" applyFont="1" applyFill="1" applyBorder="1"/>
    <xf numFmtId="1" fontId="5" fillId="4" borderId="0" xfId="0" applyNumberFormat="1" applyFont="1" applyFill="1" applyAlignment="1">
      <alignment horizontal="right"/>
    </xf>
    <xf numFmtId="0" fontId="0" fillId="0" borderId="1" xfId="0" applyFill="1" applyBorder="1" applyAlignment="1">
      <alignment vertical="center"/>
    </xf>
    <xf numFmtId="165" fontId="0" fillId="0" borderId="1" xfId="0" applyNumberFormat="1" applyBorder="1"/>
    <xf numFmtId="164" fontId="0" fillId="0" borderId="0" xfId="0" applyNumberFormat="1"/>
    <xf numFmtId="9" fontId="0" fillId="0" borderId="1" xfId="1" applyFont="1" applyBorder="1"/>
    <xf numFmtId="1" fontId="0" fillId="0" borderId="1" xfId="0" applyNumberForma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0" fillId="7" borderId="1" xfId="0" applyFill="1" applyBorder="1"/>
    <xf numFmtId="165" fontId="0" fillId="7" borderId="1" xfId="0" applyNumberFormat="1" applyFill="1" applyBorder="1" applyAlignment="1">
      <alignment horizontal="center" vertical="center"/>
    </xf>
    <xf numFmtId="164" fontId="0" fillId="0" borderId="1" xfId="0" applyNumberFormat="1" applyBorder="1"/>
    <xf numFmtId="9" fontId="0" fillId="7" borderId="1" xfId="1" applyFont="1" applyFill="1" applyBorder="1"/>
    <xf numFmtId="0" fontId="2" fillId="4" borderId="1" xfId="0" applyFont="1" applyFill="1" applyBorder="1"/>
  </cellXfs>
  <cellStyles count="3">
    <cellStyle name="Comma 2" xfId="2" xr:uid="{B900265B-928D-450B-9784-83375129A139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8D2D-AD05-42A8-B8C0-B9D67B1AAE64}">
  <sheetPr>
    <pageSetUpPr fitToPage="1"/>
  </sheetPr>
  <dimension ref="B1:AB32"/>
  <sheetViews>
    <sheetView showGridLines="0" topLeftCell="B1" zoomScaleNormal="100" workbookViewId="0">
      <pane xSplit="1" ySplit="3" topLeftCell="C4" activePane="bottomRight" state="frozen"/>
      <selection activeCell="F16" sqref="F16"/>
      <selection pane="topRight" activeCell="F16" sqref="F16"/>
      <selection pane="bottomLeft" activeCell="F16" sqref="F16"/>
      <selection pane="bottomRight" activeCell="B2" sqref="B2"/>
    </sheetView>
  </sheetViews>
  <sheetFormatPr defaultRowHeight="14.6" x14ac:dyDescent="0.4"/>
  <cols>
    <col min="2" max="2" width="37" bestFit="1" customWidth="1"/>
    <col min="3" max="4" width="9.84375" style="61" customWidth="1"/>
    <col min="5" max="7" width="8.765625" style="61" bestFit="1" customWidth="1"/>
    <col min="8" max="8" width="8.4609375" style="61" bestFit="1" customWidth="1"/>
    <col min="9" max="11" width="8.765625" style="61" bestFit="1" customWidth="1"/>
    <col min="12" max="12" width="8.4609375" style="61" bestFit="1" customWidth="1"/>
    <col min="13" max="15" width="8.765625" style="61" bestFit="1" customWidth="1"/>
    <col min="16" max="16" width="8.4609375" style="61" bestFit="1" customWidth="1"/>
    <col min="17" max="26" width="8.765625" style="61" bestFit="1" customWidth="1"/>
    <col min="27" max="27" width="9.23046875" style="61" bestFit="1" customWidth="1"/>
    <col min="28" max="28" width="9.53515625" style="61" bestFit="1" customWidth="1"/>
  </cols>
  <sheetData>
    <row r="1" spans="2:28" ht="15" hidden="1" thickBot="1" x14ac:dyDescent="0.45">
      <c r="C1" s="45">
        <v>202504</v>
      </c>
      <c r="D1" s="45" t="str">
        <f>IF(RIGHT(C1,1)&lt;"4",C1+1,_xlfn.CONCAT(LEFT(C1,4)+1,"01"))</f>
        <v>202601</v>
      </c>
      <c r="E1" s="45">
        <f t="shared" ref="E1:AB1" si="0">IF(RIGHT(D1,1)&lt;"4",D1+1,_xlfn.CONCAT(LEFT(D1,4)+1,"01"))</f>
        <v>202602</v>
      </c>
      <c r="F1" s="45">
        <f t="shared" si="0"/>
        <v>202603</v>
      </c>
      <c r="G1" s="45">
        <f t="shared" si="0"/>
        <v>202604</v>
      </c>
      <c r="H1" s="45" t="str">
        <f t="shared" si="0"/>
        <v>202701</v>
      </c>
      <c r="I1" s="45">
        <f t="shared" si="0"/>
        <v>202702</v>
      </c>
      <c r="J1" s="45">
        <f t="shared" si="0"/>
        <v>202703</v>
      </c>
      <c r="K1" s="45">
        <f t="shared" si="0"/>
        <v>202704</v>
      </c>
      <c r="L1" s="45" t="str">
        <f t="shared" si="0"/>
        <v>202801</v>
      </c>
      <c r="M1" s="45">
        <f t="shared" si="0"/>
        <v>202802</v>
      </c>
      <c r="N1" s="45">
        <f t="shared" si="0"/>
        <v>202803</v>
      </c>
      <c r="O1" s="45">
        <f t="shared" si="0"/>
        <v>202804</v>
      </c>
      <c r="P1" s="45" t="str">
        <f t="shared" si="0"/>
        <v>202901</v>
      </c>
      <c r="Q1" s="45">
        <f t="shared" si="0"/>
        <v>202902</v>
      </c>
      <c r="R1" s="45">
        <f t="shared" si="0"/>
        <v>202903</v>
      </c>
      <c r="S1" s="45">
        <f t="shared" si="0"/>
        <v>202904</v>
      </c>
      <c r="T1" s="45" t="str">
        <f t="shared" si="0"/>
        <v>203001</v>
      </c>
      <c r="U1" s="45">
        <f t="shared" si="0"/>
        <v>203002</v>
      </c>
      <c r="V1" s="45">
        <f t="shared" si="0"/>
        <v>203003</v>
      </c>
      <c r="W1" s="45">
        <f t="shared" si="0"/>
        <v>203004</v>
      </c>
      <c r="X1" s="45" t="str">
        <f t="shared" si="0"/>
        <v>203101</v>
      </c>
      <c r="Y1" s="45">
        <f t="shared" si="0"/>
        <v>203102</v>
      </c>
      <c r="Z1" s="45">
        <f t="shared" si="0"/>
        <v>203103</v>
      </c>
      <c r="AA1" s="45">
        <f t="shared" si="0"/>
        <v>203104</v>
      </c>
      <c r="AB1" s="45" t="str">
        <f t="shared" si="0"/>
        <v>203201</v>
      </c>
    </row>
    <row r="2" spans="2:28" s="165" customFormat="1" ht="15" thickBot="1" x14ac:dyDescent="0.45">
      <c r="B2" s="166" t="s">
        <v>77</v>
      </c>
      <c r="C2" s="167" t="s">
        <v>57</v>
      </c>
      <c r="D2" s="168"/>
      <c r="E2" s="169" t="s">
        <v>78</v>
      </c>
      <c r="F2" s="169"/>
      <c r="G2" s="169"/>
      <c r="H2" s="169"/>
      <c r="I2" s="169"/>
      <c r="J2" s="168"/>
      <c r="K2" s="169" t="s">
        <v>59</v>
      </c>
      <c r="L2" s="169"/>
      <c r="M2" s="169"/>
      <c r="N2" s="169"/>
      <c r="O2" s="169"/>
      <c r="P2" s="169"/>
      <c r="Q2" s="169"/>
      <c r="R2" s="168"/>
      <c r="S2" s="169" t="s">
        <v>60</v>
      </c>
      <c r="T2" s="169"/>
      <c r="U2" s="169"/>
      <c r="V2" s="169"/>
      <c r="W2" s="169"/>
      <c r="X2" s="169"/>
      <c r="Y2" s="169"/>
      <c r="Z2" s="169"/>
      <c r="AA2" s="169"/>
      <c r="AB2" s="168"/>
    </row>
    <row r="3" spans="2:28" ht="15" thickBot="1" x14ac:dyDescent="0.45">
      <c r="B3" s="46" t="s">
        <v>79</v>
      </c>
      <c r="C3" s="47" t="str">
        <f t="shared" ref="C3:AB3" si="1">_xlfn.CONCAT("Q",RIGHT(C1,1), " '",RIGHT(LEFT(C1,4),2))</f>
        <v>Q4 '25</v>
      </c>
      <c r="D3" s="48" t="str">
        <f t="shared" si="1"/>
        <v>Q1 '26</v>
      </c>
      <c r="E3" s="49" t="str">
        <f t="shared" si="1"/>
        <v>Q2 '26</v>
      </c>
      <c r="F3" s="50" t="str">
        <f t="shared" si="1"/>
        <v>Q3 '26</v>
      </c>
      <c r="G3" s="50" t="str">
        <f t="shared" si="1"/>
        <v>Q4 '26</v>
      </c>
      <c r="H3" s="50" t="str">
        <f t="shared" si="1"/>
        <v>Q1 '27</v>
      </c>
      <c r="I3" s="50" t="str">
        <f t="shared" si="1"/>
        <v>Q2 '27</v>
      </c>
      <c r="J3" s="48" t="str">
        <f t="shared" si="1"/>
        <v>Q3 '27</v>
      </c>
      <c r="K3" s="49" t="str">
        <f t="shared" si="1"/>
        <v>Q4 '27</v>
      </c>
      <c r="L3" s="50" t="str">
        <f t="shared" si="1"/>
        <v>Q1 '28</v>
      </c>
      <c r="M3" s="50" t="str">
        <f t="shared" si="1"/>
        <v>Q2 '28</v>
      </c>
      <c r="N3" s="50" t="str">
        <f t="shared" si="1"/>
        <v>Q3 '28</v>
      </c>
      <c r="O3" s="50" t="str">
        <f t="shared" si="1"/>
        <v>Q4 '28</v>
      </c>
      <c r="P3" s="50" t="str">
        <f t="shared" si="1"/>
        <v>Q1 '29</v>
      </c>
      <c r="Q3" s="50" t="str">
        <f t="shared" si="1"/>
        <v>Q2 '29</v>
      </c>
      <c r="R3" s="48" t="str">
        <f t="shared" si="1"/>
        <v>Q3 '29</v>
      </c>
      <c r="S3" s="49" t="str">
        <f t="shared" si="1"/>
        <v>Q4 '29</v>
      </c>
      <c r="T3" s="50" t="str">
        <f t="shared" si="1"/>
        <v>Q1 '30</v>
      </c>
      <c r="U3" s="50" t="str">
        <f t="shared" si="1"/>
        <v>Q2 '30</v>
      </c>
      <c r="V3" s="50" t="str">
        <f t="shared" si="1"/>
        <v>Q3 '30</v>
      </c>
      <c r="W3" s="50" t="str">
        <f t="shared" si="1"/>
        <v>Q4 '30</v>
      </c>
      <c r="X3" s="50" t="str">
        <f t="shared" si="1"/>
        <v>Q1 '31</v>
      </c>
      <c r="Y3" s="50" t="str">
        <f t="shared" si="1"/>
        <v>Q2 '31</v>
      </c>
      <c r="Z3" s="50" t="str">
        <f t="shared" si="1"/>
        <v>Q3 '31</v>
      </c>
      <c r="AA3" s="50" t="str">
        <f t="shared" si="1"/>
        <v>Q4 '31</v>
      </c>
      <c r="AB3" s="48" t="str">
        <f t="shared" si="1"/>
        <v>Q1 '32</v>
      </c>
    </row>
    <row r="4" spans="2:28" ht="15" thickBot="1" x14ac:dyDescent="0.45">
      <c r="B4" s="51" t="s">
        <v>80</v>
      </c>
      <c r="C4" s="52"/>
      <c r="D4" s="53"/>
      <c r="E4" s="54"/>
      <c r="F4" s="54"/>
      <c r="G4" s="54"/>
      <c r="H4" s="54"/>
      <c r="I4" s="54"/>
      <c r="J4" s="53"/>
      <c r="K4" s="54"/>
      <c r="L4" s="54"/>
      <c r="M4" s="54"/>
      <c r="N4" s="54"/>
      <c r="O4" s="54"/>
      <c r="P4" s="54"/>
      <c r="Q4" s="54"/>
      <c r="R4" s="53"/>
      <c r="S4" s="54"/>
      <c r="T4" s="54"/>
      <c r="U4" s="54"/>
      <c r="V4" s="54"/>
      <c r="W4" s="54"/>
      <c r="X4" s="54"/>
      <c r="Y4" s="54"/>
      <c r="Z4" s="54"/>
      <c r="AA4" s="54"/>
      <c r="AB4" s="53"/>
    </row>
    <row r="5" spans="2:28" x14ac:dyDescent="0.4">
      <c r="B5" s="55" t="s">
        <v>63</v>
      </c>
      <c r="C5" s="56"/>
      <c r="D5" s="57"/>
      <c r="E5" s="58"/>
      <c r="F5" s="58"/>
      <c r="G5" s="58"/>
      <c r="H5" s="58"/>
      <c r="I5" s="58"/>
      <c r="J5" s="57"/>
      <c r="K5" s="58"/>
      <c r="L5" s="58"/>
      <c r="M5" s="58"/>
      <c r="N5" s="58"/>
      <c r="O5" s="58"/>
      <c r="P5" s="58"/>
      <c r="Q5" s="58"/>
      <c r="R5" s="57"/>
      <c r="S5" s="58"/>
      <c r="T5" s="58"/>
      <c r="U5" s="58"/>
      <c r="V5" s="58"/>
      <c r="W5" s="58"/>
      <c r="X5" s="58"/>
      <c r="Y5" s="58"/>
      <c r="Z5" s="58"/>
      <c r="AA5" s="58"/>
      <c r="AB5" s="57"/>
    </row>
    <row r="6" spans="2:28" x14ac:dyDescent="0.4">
      <c r="B6" s="41" t="s">
        <v>64</v>
      </c>
      <c r="C6" s="59">
        <v>2</v>
      </c>
      <c r="D6" s="60">
        <v>2</v>
      </c>
      <c r="E6" s="61">
        <v>2</v>
      </c>
      <c r="F6" s="61">
        <v>2</v>
      </c>
      <c r="G6" s="61">
        <v>2</v>
      </c>
      <c r="H6" s="61">
        <v>2</v>
      </c>
      <c r="I6" s="61">
        <v>2</v>
      </c>
      <c r="J6" s="60">
        <v>2</v>
      </c>
      <c r="K6" s="61">
        <v>4</v>
      </c>
      <c r="L6" s="61">
        <v>4</v>
      </c>
      <c r="M6" s="61">
        <v>4</v>
      </c>
      <c r="N6" s="61">
        <v>4</v>
      </c>
      <c r="O6" s="61">
        <v>4</v>
      </c>
      <c r="P6" s="61">
        <v>4</v>
      </c>
      <c r="Q6" s="61">
        <v>4</v>
      </c>
      <c r="R6" s="60">
        <v>4</v>
      </c>
      <c r="S6" s="61">
        <v>8</v>
      </c>
      <c r="T6" s="61">
        <v>8</v>
      </c>
      <c r="U6" s="61">
        <v>8</v>
      </c>
      <c r="V6" s="61">
        <v>8</v>
      </c>
      <c r="W6" s="61">
        <v>8</v>
      </c>
      <c r="X6" s="61">
        <v>8</v>
      </c>
      <c r="Y6" s="61">
        <v>8</v>
      </c>
      <c r="Z6" s="61">
        <v>8</v>
      </c>
      <c r="AA6" s="61">
        <v>8</v>
      </c>
      <c r="AB6" s="60">
        <v>8</v>
      </c>
    </row>
    <row r="7" spans="2:28" x14ac:dyDescent="0.4">
      <c r="B7" s="41" t="s">
        <v>65</v>
      </c>
      <c r="C7" s="59">
        <v>2</v>
      </c>
      <c r="D7" s="60">
        <v>2</v>
      </c>
      <c r="E7" s="61">
        <v>3</v>
      </c>
      <c r="F7" s="61">
        <v>3</v>
      </c>
      <c r="G7" s="61">
        <v>3</v>
      </c>
      <c r="H7" s="61">
        <v>3</v>
      </c>
      <c r="I7" s="61">
        <v>3</v>
      </c>
      <c r="J7" s="60">
        <v>3</v>
      </c>
      <c r="K7" s="61">
        <v>4</v>
      </c>
      <c r="L7" s="61">
        <v>4</v>
      </c>
      <c r="M7" s="61">
        <v>4</v>
      </c>
      <c r="N7" s="61">
        <v>4</v>
      </c>
      <c r="O7" s="61">
        <v>4</v>
      </c>
      <c r="P7" s="61">
        <v>4</v>
      </c>
      <c r="Q7" s="61">
        <v>4</v>
      </c>
      <c r="R7" s="60">
        <v>4</v>
      </c>
      <c r="S7" s="61">
        <v>4</v>
      </c>
      <c r="T7" s="61">
        <v>4</v>
      </c>
      <c r="U7" s="61">
        <v>4</v>
      </c>
      <c r="V7" s="61">
        <v>4</v>
      </c>
      <c r="W7" s="61">
        <v>4</v>
      </c>
      <c r="X7" s="61">
        <v>4</v>
      </c>
      <c r="Y7" s="61">
        <v>4</v>
      </c>
      <c r="Z7" s="61">
        <v>4</v>
      </c>
      <c r="AA7" s="61">
        <v>4</v>
      </c>
      <c r="AB7" s="60">
        <v>4</v>
      </c>
    </row>
    <row r="8" spans="2:28" x14ac:dyDescent="0.4">
      <c r="B8" s="41" t="s">
        <v>66</v>
      </c>
      <c r="C8" s="62">
        <v>0</v>
      </c>
      <c r="D8" s="63">
        <v>0</v>
      </c>
      <c r="E8" s="61">
        <v>2</v>
      </c>
      <c r="F8" s="61">
        <v>2</v>
      </c>
      <c r="G8" s="61">
        <v>2</v>
      </c>
      <c r="H8" s="61">
        <v>2</v>
      </c>
      <c r="I8" s="61">
        <v>2</v>
      </c>
      <c r="J8" s="60">
        <v>2</v>
      </c>
      <c r="K8" s="61">
        <v>2</v>
      </c>
      <c r="L8" s="61">
        <v>2</v>
      </c>
      <c r="M8" s="61">
        <v>2</v>
      </c>
      <c r="N8" s="61">
        <v>2</v>
      </c>
      <c r="O8" s="61">
        <v>2</v>
      </c>
      <c r="P8" s="61">
        <v>2</v>
      </c>
      <c r="Q8" s="61">
        <v>2</v>
      </c>
      <c r="R8" s="60">
        <v>2</v>
      </c>
      <c r="S8" s="61">
        <v>2</v>
      </c>
      <c r="T8" s="61">
        <v>2</v>
      </c>
      <c r="U8" s="61">
        <v>2</v>
      </c>
      <c r="V8" s="61">
        <v>2</v>
      </c>
      <c r="W8" s="61">
        <v>2</v>
      </c>
      <c r="X8" s="61">
        <v>2</v>
      </c>
      <c r="Y8" s="61">
        <v>2</v>
      </c>
      <c r="Z8" s="61">
        <v>2</v>
      </c>
      <c r="AA8" s="61">
        <v>2</v>
      </c>
      <c r="AB8" s="60">
        <v>2</v>
      </c>
    </row>
    <row r="9" spans="2:28" x14ac:dyDescent="0.4">
      <c r="B9" s="41" t="s">
        <v>67</v>
      </c>
      <c r="C9" s="62">
        <v>0</v>
      </c>
      <c r="D9" s="63">
        <v>0</v>
      </c>
      <c r="E9" s="61">
        <v>1</v>
      </c>
      <c r="F9" s="61">
        <v>1</v>
      </c>
      <c r="G9" s="61">
        <v>1</v>
      </c>
      <c r="H9" s="61">
        <v>1</v>
      </c>
      <c r="I9" s="61">
        <v>1</v>
      </c>
      <c r="J9" s="60">
        <v>1</v>
      </c>
      <c r="K9" s="61">
        <v>1</v>
      </c>
      <c r="L9" s="61">
        <v>1</v>
      </c>
      <c r="M9" s="61">
        <v>1</v>
      </c>
      <c r="N9" s="61">
        <v>1</v>
      </c>
      <c r="O9" s="61">
        <v>1</v>
      </c>
      <c r="P9" s="61">
        <v>1</v>
      </c>
      <c r="Q9" s="61">
        <v>1</v>
      </c>
      <c r="R9" s="60">
        <v>1</v>
      </c>
      <c r="S9" s="61">
        <v>2</v>
      </c>
      <c r="T9" s="61">
        <v>2</v>
      </c>
      <c r="U9" s="61">
        <v>2</v>
      </c>
      <c r="V9" s="61">
        <v>2</v>
      </c>
      <c r="W9" s="61">
        <v>2</v>
      </c>
      <c r="X9" s="61">
        <v>2</v>
      </c>
      <c r="Y9" s="61">
        <v>2</v>
      </c>
      <c r="Z9" s="61">
        <v>2</v>
      </c>
      <c r="AA9" s="61">
        <v>2</v>
      </c>
      <c r="AB9" s="60">
        <v>2</v>
      </c>
    </row>
    <row r="10" spans="2:28" x14ac:dyDescent="0.4">
      <c r="B10" s="41" t="s">
        <v>68</v>
      </c>
      <c r="C10" s="62">
        <v>0</v>
      </c>
      <c r="D10" s="60">
        <v>2</v>
      </c>
      <c r="E10" s="61">
        <v>4</v>
      </c>
      <c r="F10" s="61">
        <v>4</v>
      </c>
      <c r="G10" s="61">
        <v>4</v>
      </c>
      <c r="H10" s="61">
        <v>4</v>
      </c>
      <c r="I10" s="61">
        <v>4</v>
      </c>
      <c r="J10" s="60">
        <v>4</v>
      </c>
      <c r="K10" s="61">
        <v>6</v>
      </c>
      <c r="L10" s="61">
        <v>6</v>
      </c>
      <c r="M10" s="61">
        <v>6</v>
      </c>
      <c r="N10" s="61">
        <v>6</v>
      </c>
      <c r="O10" s="61">
        <v>6</v>
      </c>
      <c r="P10" s="61">
        <v>6</v>
      </c>
      <c r="Q10" s="61">
        <v>6</v>
      </c>
      <c r="R10" s="60">
        <v>6</v>
      </c>
      <c r="S10" s="61">
        <v>10</v>
      </c>
      <c r="T10" s="61">
        <v>10</v>
      </c>
      <c r="U10" s="61">
        <v>10</v>
      </c>
      <c r="V10" s="61">
        <v>10</v>
      </c>
      <c r="W10" s="61">
        <v>10</v>
      </c>
      <c r="X10" s="61">
        <v>10</v>
      </c>
      <c r="Y10" s="61">
        <v>10</v>
      </c>
      <c r="Z10" s="61">
        <v>10</v>
      </c>
      <c r="AA10" s="61">
        <v>10</v>
      </c>
      <c r="AB10" s="60">
        <v>10</v>
      </c>
    </row>
    <row r="11" spans="2:28" x14ac:dyDescent="0.4">
      <c r="B11" s="41" t="s">
        <v>69</v>
      </c>
      <c r="C11" s="62">
        <v>0</v>
      </c>
      <c r="D11" s="60">
        <v>1</v>
      </c>
      <c r="E11" s="61">
        <v>1</v>
      </c>
      <c r="F11" s="61">
        <v>1</v>
      </c>
      <c r="G11" s="61">
        <v>1</v>
      </c>
      <c r="H11" s="61">
        <v>1</v>
      </c>
      <c r="I11" s="61">
        <v>1</v>
      </c>
      <c r="J11" s="60">
        <v>1</v>
      </c>
      <c r="K11" s="61">
        <v>2</v>
      </c>
      <c r="L11" s="61">
        <v>2</v>
      </c>
      <c r="M11" s="61">
        <v>2</v>
      </c>
      <c r="N11" s="61">
        <v>2</v>
      </c>
      <c r="O11" s="61">
        <v>2</v>
      </c>
      <c r="P11" s="61">
        <v>2</v>
      </c>
      <c r="Q11" s="61">
        <v>2</v>
      </c>
      <c r="R11" s="60">
        <v>2</v>
      </c>
      <c r="S11" s="61">
        <v>4</v>
      </c>
      <c r="T11" s="61">
        <v>4</v>
      </c>
      <c r="U11" s="61">
        <v>4</v>
      </c>
      <c r="V11" s="61">
        <v>4</v>
      </c>
      <c r="W11" s="61">
        <v>4</v>
      </c>
      <c r="X11" s="61">
        <v>4</v>
      </c>
      <c r="Y11" s="61">
        <v>4</v>
      </c>
      <c r="Z11" s="61">
        <v>4</v>
      </c>
      <c r="AA11" s="61">
        <v>4</v>
      </c>
      <c r="AB11" s="60">
        <v>4</v>
      </c>
    </row>
    <row r="12" spans="2:28" x14ac:dyDescent="0.4">
      <c r="B12" s="41" t="s">
        <v>70</v>
      </c>
      <c r="C12" s="62">
        <v>0</v>
      </c>
      <c r="D12" s="60">
        <v>0</v>
      </c>
      <c r="E12" s="61">
        <v>0</v>
      </c>
      <c r="F12" s="61">
        <v>0</v>
      </c>
      <c r="G12" s="61">
        <v>1</v>
      </c>
      <c r="H12" s="61">
        <v>1</v>
      </c>
      <c r="I12" s="61">
        <v>1</v>
      </c>
      <c r="J12" s="60">
        <v>1</v>
      </c>
      <c r="K12" s="61">
        <v>1</v>
      </c>
      <c r="L12" s="61">
        <v>1</v>
      </c>
      <c r="M12" s="61">
        <v>1</v>
      </c>
      <c r="N12" s="61">
        <v>1</v>
      </c>
      <c r="O12" s="61">
        <v>1</v>
      </c>
      <c r="P12" s="61">
        <v>1</v>
      </c>
      <c r="Q12" s="61">
        <v>1</v>
      </c>
      <c r="R12" s="60">
        <v>1</v>
      </c>
      <c r="S12" s="61">
        <v>2</v>
      </c>
      <c r="T12" s="61">
        <v>2</v>
      </c>
      <c r="U12" s="61">
        <v>2</v>
      </c>
      <c r="V12" s="61">
        <v>2</v>
      </c>
      <c r="W12" s="61">
        <v>2</v>
      </c>
      <c r="X12" s="61">
        <v>2</v>
      </c>
      <c r="Y12" s="61">
        <v>2</v>
      </c>
      <c r="Z12" s="61">
        <v>2</v>
      </c>
      <c r="AA12" s="61">
        <v>2</v>
      </c>
      <c r="AB12" s="60">
        <v>2</v>
      </c>
    </row>
    <row r="13" spans="2:28" x14ac:dyDescent="0.4">
      <c r="B13" s="64" t="s">
        <v>81</v>
      </c>
      <c r="C13" s="65"/>
      <c r="D13" s="66"/>
      <c r="E13" s="67"/>
      <c r="F13" s="67"/>
      <c r="G13" s="67"/>
      <c r="H13" s="67"/>
      <c r="I13" s="67"/>
      <c r="J13" s="66"/>
      <c r="K13" s="67"/>
      <c r="L13" s="67"/>
      <c r="M13" s="67"/>
      <c r="N13" s="67"/>
      <c r="O13" s="67"/>
      <c r="P13" s="67"/>
      <c r="Q13" s="67"/>
      <c r="R13" s="66"/>
      <c r="S13" s="67"/>
      <c r="T13" s="67"/>
      <c r="U13" s="67"/>
      <c r="V13" s="67"/>
      <c r="W13" s="67"/>
      <c r="X13" s="67"/>
      <c r="Y13" s="67"/>
      <c r="Z13" s="67"/>
      <c r="AA13" s="67"/>
      <c r="AB13" s="66"/>
    </row>
    <row r="14" spans="2:28" x14ac:dyDescent="0.4">
      <c r="B14" s="41" t="s">
        <v>64</v>
      </c>
      <c r="C14" s="62">
        <v>0</v>
      </c>
      <c r="D14" s="63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3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3">
        <v>0</v>
      </c>
      <c r="S14" s="61">
        <v>8</v>
      </c>
      <c r="T14" s="61">
        <v>8</v>
      </c>
      <c r="U14" s="61">
        <v>8</v>
      </c>
      <c r="V14" s="61">
        <v>8</v>
      </c>
      <c r="W14" s="61">
        <v>8</v>
      </c>
      <c r="X14" s="61">
        <v>8</v>
      </c>
      <c r="Y14" s="61">
        <v>8</v>
      </c>
      <c r="Z14" s="61">
        <v>8</v>
      </c>
      <c r="AA14" s="61">
        <v>8</v>
      </c>
      <c r="AB14" s="60">
        <v>8</v>
      </c>
    </row>
    <row r="15" spans="2:28" x14ac:dyDescent="0.4">
      <c r="B15" s="41" t="s">
        <v>65</v>
      </c>
      <c r="C15" s="62">
        <v>0</v>
      </c>
      <c r="D15" s="63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3">
        <v>0</v>
      </c>
      <c r="K15" s="68">
        <v>0</v>
      </c>
      <c r="L15" s="68">
        <v>0</v>
      </c>
      <c r="M15" s="68">
        <v>0</v>
      </c>
      <c r="N15" s="68">
        <v>0</v>
      </c>
      <c r="O15" s="68">
        <v>0</v>
      </c>
      <c r="P15" s="68">
        <v>0</v>
      </c>
      <c r="Q15" s="68">
        <v>0</v>
      </c>
      <c r="R15" s="63">
        <v>0</v>
      </c>
      <c r="S15" s="61">
        <v>4</v>
      </c>
      <c r="T15" s="61">
        <v>4</v>
      </c>
      <c r="U15" s="61">
        <v>4</v>
      </c>
      <c r="V15" s="61">
        <v>4</v>
      </c>
      <c r="W15" s="61">
        <v>4</v>
      </c>
      <c r="X15" s="61">
        <v>4</v>
      </c>
      <c r="Y15" s="61">
        <v>4</v>
      </c>
      <c r="Z15" s="61">
        <v>4</v>
      </c>
      <c r="AA15" s="61">
        <v>4</v>
      </c>
      <c r="AB15" s="60">
        <v>4</v>
      </c>
    </row>
    <row r="16" spans="2:28" x14ac:dyDescent="0.4">
      <c r="B16" s="41" t="s">
        <v>66</v>
      </c>
      <c r="C16" s="62">
        <v>0</v>
      </c>
      <c r="D16" s="63">
        <v>0</v>
      </c>
      <c r="E16" s="68">
        <v>0</v>
      </c>
      <c r="F16" s="68">
        <v>0</v>
      </c>
      <c r="G16" s="68">
        <v>0</v>
      </c>
      <c r="H16" s="68">
        <v>0</v>
      </c>
      <c r="I16" s="68">
        <v>0</v>
      </c>
      <c r="J16" s="63">
        <v>0</v>
      </c>
      <c r="K16" s="68">
        <v>0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3">
        <v>0</v>
      </c>
      <c r="S16" s="61">
        <v>2</v>
      </c>
      <c r="T16" s="61">
        <v>2</v>
      </c>
      <c r="U16" s="61">
        <v>2</v>
      </c>
      <c r="V16" s="61">
        <v>2</v>
      </c>
      <c r="W16" s="61">
        <v>2</v>
      </c>
      <c r="X16" s="61">
        <v>2</v>
      </c>
      <c r="Y16" s="61">
        <v>2</v>
      </c>
      <c r="Z16" s="61">
        <v>2</v>
      </c>
      <c r="AA16" s="61">
        <v>2</v>
      </c>
      <c r="AB16" s="60">
        <v>2</v>
      </c>
    </row>
    <row r="17" spans="2:28" x14ac:dyDescent="0.4">
      <c r="B17" s="41" t="s">
        <v>67</v>
      </c>
      <c r="C17" s="62">
        <v>0</v>
      </c>
      <c r="D17" s="63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3">
        <v>0</v>
      </c>
      <c r="K17" s="68">
        <v>0</v>
      </c>
      <c r="L17" s="68">
        <v>0</v>
      </c>
      <c r="M17" s="68">
        <v>0</v>
      </c>
      <c r="N17" s="68">
        <v>0</v>
      </c>
      <c r="O17" s="68">
        <v>0</v>
      </c>
      <c r="P17" s="68">
        <v>0</v>
      </c>
      <c r="Q17" s="68">
        <v>0</v>
      </c>
      <c r="R17" s="63">
        <v>0</v>
      </c>
      <c r="S17" s="61">
        <v>2</v>
      </c>
      <c r="T17" s="61">
        <v>2</v>
      </c>
      <c r="U17" s="61">
        <v>2</v>
      </c>
      <c r="V17" s="61">
        <v>2</v>
      </c>
      <c r="W17" s="61">
        <v>2</v>
      </c>
      <c r="X17" s="61">
        <v>2</v>
      </c>
      <c r="Y17" s="61">
        <v>2</v>
      </c>
      <c r="Z17" s="61">
        <v>2</v>
      </c>
      <c r="AA17" s="61">
        <v>2</v>
      </c>
      <c r="AB17" s="60">
        <v>2</v>
      </c>
    </row>
    <row r="18" spans="2:28" x14ac:dyDescent="0.4">
      <c r="B18" s="41" t="s">
        <v>68</v>
      </c>
      <c r="C18" s="62">
        <v>0</v>
      </c>
      <c r="D18" s="63">
        <v>0</v>
      </c>
      <c r="E18" s="68">
        <v>0</v>
      </c>
      <c r="F18" s="68">
        <v>0</v>
      </c>
      <c r="G18" s="68">
        <v>0</v>
      </c>
      <c r="H18" s="68">
        <v>0</v>
      </c>
      <c r="I18" s="68">
        <v>0</v>
      </c>
      <c r="J18" s="63">
        <v>0</v>
      </c>
      <c r="K18" s="68">
        <v>0</v>
      </c>
      <c r="L18" s="68">
        <v>0</v>
      </c>
      <c r="M18" s="68">
        <v>0</v>
      </c>
      <c r="N18" s="68">
        <v>0</v>
      </c>
      <c r="O18" s="68">
        <v>0</v>
      </c>
      <c r="P18" s="68">
        <v>0</v>
      </c>
      <c r="Q18" s="68">
        <v>0</v>
      </c>
      <c r="R18" s="63">
        <v>0</v>
      </c>
      <c r="S18" s="61">
        <v>10</v>
      </c>
      <c r="T18" s="61">
        <v>10</v>
      </c>
      <c r="U18" s="61">
        <v>10</v>
      </c>
      <c r="V18" s="61">
        <v>10</v>
      </c>
      <c r="W18" s="61">
        <v>10</v>
      </c>
      <c r="X18" s="61">
        <v>10</v>
      </c>
      <c r="Y18" s="61">
        <v>10</v>
      </c>
      <c r="Z18" s="61">
        <v>10</v>
      </c>
      <c r="AA18" s="61">
        <v>10</v>
      </c>
      <c r="AB18" s="60">
        <v>10</v>
      </c>
    </row>
    <row r="19" spans="2:28" x14ac:dyDescent="0.4">
      <c r="B19" s="41" t="s">
        <v>69</v>
      </c>
      <c r="C19" s="62">
        <v>0</v>
      </c>
      <c r="D19" s="63">
        <v>0</v>
      </c>
      <c r="E19" s="68">
        <v>0</v>
      </c>
      <c r="F19" s="68">
        <v>0</v>
      </c>
      <c r="G19" s="68">
        <v>0</v>
      </c>
      <c r="H19" s="68">
        <v>0</v>
      </c>
      <c r="I19" s="68">
        <v>0</v>
      </c>
      <c r="J19" s="63">
        <v>0</v>
      </c>
      <c r="K19" s="68">
        <v>0</v>
      </c>
      <c r="L19" s="68">
        <v>0</v>
      </c>
      <c r="M19" s="68">
        <v>0</v>
      </c>
      <c r="N19" s="68">
        <v>0</v>
      </c>
      <c r="O19" s="68">
        <v>0</v>
      </c>
      <c r="P19" s="68">
        <v>0</v>
      </c>
      <c r="Q19" s="68">
        <v>0</v>
      </c>
      <c r="R19" s="63">
        <v>0</v>
      </c>
      <c r="S19" s="61">
        <v>4</v>
      </c>
      <c r="T19" s="61">
        <v>4</v>
      </c>
      <c r="U19" s="61">
        <v>4</v>
      </c>
      <c r="V19" s="61">
        <v>4</v>
      </c>
      <c r="W19" s="61">
        <v>4</v>
      </c>
      <c r="X19" s="61">
        <v>4</v>
      </c>
      <c r="Y19" s="61">
        <v>4</v>
      </c>
      <c r="Z19" s="61">
        <v>4</v>
      </c>
      <c r="AA19" s="61">
        <v>4</v>
      </c>
      <c r="AB19" s="60">
        <v>4</v>
      </c>
    </row>
    <row r="20" spans="2:28" ht="15" thickBot="1" x14ac:dyDescent="0.45">
      <c r="B20" s="41" t="s">
        <v>70</v>
      </c>
      <c r="C20" s="62">
        <v>0</v>
      </c>
      <c r="D20" s="63">
        <v>0</v>
      </c>
      <c r="E20" s="68">
        <v>0</v>
      </c>
      <c r="F20" s="68">
        <v>0</v>
      </c>
      <c r="G20" s="68">
        <v>0</v>
      </c>
      <c r="H20" s="68">
        <v>0</v>
      </c>
      <c r="I20" s="68">
        <v>0</v>
      </c>
      <c r="J20" s="63">
        <v>0</v>
      </c>
      <c r="K20" s="68">
        <v>0</v>
      </c>
      <c r="L20" s="68">
        <v>0</v>
      </c>
      <c r="M20" s="68">
        <v>0</v>
      </c>
      <c r="N20" s="68">
        <v>0</v>
      </c>
      <c r="O20" s="68">
        <v>0</v>
      </c>
      <c r="P20" s="68">
        <v>0</v>
      </c>
      <c r="Q20" s="68">
        <v>0</v>
      </c>
      <c r="R20" s="63">
        <v>0</v>
      </c>
      <c r="S20" s="61">
        <v>2</v>
      </c>
      <c r="T20" s="61">
        <v>2</v>
      </c>
      <c r="U20" s="61">
        <v>2</v>
      </c>
      <c r="V20" s="61">
        <v>2</v>
      </c>
      <c r="W20" s="61">
        <v>2</v>
      </c>
      <c r="X20" s="61">
        <v>2</v>
      </c>
      <c r="Y20" s="61">
        <v>2</v>
      </c>
      <c r="Z20" s="61">
        <v>2</v>
      </c>
      <c r="AA20" s="61">
        <v>2</v>
      </c>
      <c r="AB20" s="60">
        <v>2</v>
      </c>
    </row>
    <row r="21" spans="2:28" ht="15" thickBot="1" x14ac:dyDescent="0.45">
      <c r="B21" s="51" t="s">
        <v>82</v>
      </c>
      <c r="C21" s="52"/>
      <c r="D21" s="53"/>
      <c r="E21" s="54"/>
      <c r="F21" s="54"/>
      <c r="G21" s="54"/>
      <c r="H21" s="54"/>
      <c r="I21" s="54"/>
      <c r="J21" s="53"/>
      <c r="K21" s="54"/>
      <c r="L21" s="54"/>
      <c r="M21" s="54"/>
      <c r="N21" s="54"/>
      <c r="O21" s="54"/>
      <c r="P21" s="54"/>
      <c r="Q21" s="54"/>
      <c r="R21" s="53"/>
      <c r="S21" s="54"/>
      <c r="T21" s="54"/>
      <c r="U21" s="54"/>
      <c r="V21" s="54"/>
      <c r="W21" s="54"/>
      <c r="X21" s="54"/>
      <c r="Y21" s="54"/>
      <c r="Z21" s="54"/>
      <c r="AA21" s="54"/>
      <c r="AB21" s="53"/>
    </row>
    <row r="22" spans="2:28" x14ac:dyDescent="0.4">
      <c r="B22" s="55" t="s">
        <v>63</v>
      </c>
      <c r="C22" s="56"/>
      <c r="D22" s="57"/>
      <c r="E22" s="58"/>
      <c r="F22" s="58"/>
      <c r="G22" s="58"/>
      <c r="H22" s="58"/>
      <c r="I22" s="58"/>
      <c r="J22" s="57"/>
      <c r="K22" s="58"/>
      <c r="L22" s="58"/>
      <c r="M22" s="58"/>
      <c r="N22" s="58"/>
      <c r="O22" s="58"/>
      <c r="P22" s="58"/>
      <c r="Q22" s="58"/>
      <c r="R22" s="57"/>
      <c r="S22" s="58"/>
      <c r="T22" s="58"/>
      <c r="U22" s="58"/>
      <c r="V22" s="58"/>
      <c r="W22" s="58"/>
      <c r="X22" s="58"/>
      <c r="Y22" s="58"/>
      <c r="Z22" s="58"/>
      <c r="AA22" s="58"/>
      <c r="AB22" s="57"/>
    </row>
    <row r="23" spans="2:28" x14ac:dyDescent="0.4">
      <c r="B23" s="41" t="s">
        <v>74</v>
      </c>
      <c r="C23" s="59">
        <v>1</v>
      </c>
      <c r="D23" s="60">
        <v>1</v>
      </c>
      <c r="E23" s="61">
        <v>1</v>
      </c>
      <c r="F23" s="61">
        <v>1</v>
      </c>
      <c r="G23" s="61">
        <v>1</v>
      </c>
      <c r="H23" s="61">
        <v>1</v>
      </c>
      <c r="I23" s="61">
        <v>1</v>
      </c>
      <c r="J23" s="60">
        <v>1</v>
      </c>
      <c r="K23" s="61">
        <v>1</v>
      </c>
      <c r="L23" s="61">
        <v>1</v>
      </c>
      <c r="M23" s="61">
        <v>1</v>
      </c>
      <c r="N23" s="61">
        <v>1</v>
      </c>
      <c r="O23" s="61">
        <v>1</v>
      </c>
      <c r="P23" s="61">
        <v>1</v>
      </c>
      <c r="Q23" s="61">
        <v>1</v>
      </c>
      <c r="R23" s="60">
        <v>1</v>
      </c>
      <c r="S23" s="61">
        <v>1</v>
      </c>
      <c r="T23" s="61">
        <v>1</v>
      </c>
      <c r="U23" s="61">
        <v>1</v>
      </c>
      <c r="V23" s="61">
        <v>1</v>
      </c>
      <c r="W23" s="61">
        <v>1</v>
      </c>
      <c r="X23" s="61">
        <v>1</v>
      </c>
      <c r="Y23" s="61">
        <v>1</v>
      </c>
      <c r="Z23" s="61">
        <v>1</v>
      </c>
      <c r="AA23" s="61">
        <v>1</v>
      </c>
      <c r="AB23" s="60">
        <v>1</v>
      </c>
    </row>
    <row r="24" spans="2:28" x14ac:dyDescent="0.4">
      <c r="B24" s="64" t="s">
        <v>71</v>
      </c>
      <c r="C24" s="65"/>
      <c r="D24" s="66"/>
      <c r="E24" s="67"/>
      <c r="F24" s="67"/>
      <c r="G24" s="67"/>
      <c r="H24" s="67"/>
      <c r="I24" s="67"/>
      <c r="J24" s="66"/>
      <c r="K24" s="67"/>
      <c r="L24" s="67"/>
      <c r="M24" s="67"/>
      <c r="N24" s="67"/>
      <c r="O24" s="67"/>
      <c r="P24" s="67"/>
      <c r="Q24" s="67"/>
      <c r="R24" s="66"/>
      <c r="S24" s="67"/>
      <c r="T24" s="67"/>
      <c r="U24" s="67"/>
      <c r="V24" s="67"/>
      <c r="W24" s="67"/>
      <c r="X24" s="67"/>
      <c r="Y24" s="67"/>
      <c r="Z24" s="67"/>
      <c r="AA24" s="67"/>
      <c r="AB24" s="66"/>
    </row>
    <row r="25" spans="2:28" ht="15" thickBot="1" x14ac:dyDescent="0.45">
      <c r="B25" s="41" t="s">
        <v>74</v>
      </c>
      <c r="C25" s="62">
        <v>0</v>
      </c>
      <c r="D25" s="63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3">
        <v>0</v>
      </c>
      <c r="K25" s="68">
        <v>0</v>
      </c>
      <c r="L25" s="68">
        <v>0</v>
      </c>
      <c r="M25" s="68">
        <v>0</v>
      </c>
      <c r="N25" s="68">
        <v>0</v>
      </c>
      <c r="O25" s="68">
        <v>0</v>
      </c>
      <c r="P25" s="68">
        <v>0</v>
      </c>
      <c r="Q25" s="68">
        <v>0</v>
      </c>
      <c r="R25" s="63">
        <v>0</v>
      </c>
      <c r="S25" s="61">
        <v>1</v>
      </c>
      <c r="T25" s="61">
        <v>1</v>
      </c>
      <c r="U25" s="61">
        <v>1</v>
      </c>
      <c r="V25" s="61">
        <v>1</v>
      </c>
      <c r="W25" s="61">
        <v>1</v>
      </c>
      <c r="X25" s="61">
        <v>1</v>
      </c>
      <c r="Y25" s="61">
        <v>1</v>
      </c>
      <c r="Z25" s="61">
        <v>1</v>
      </c>
      <c r="AA25" s="61">
        <v>1</v>
      </c>
      <c r="AB25" s="60">
        <v>1</v>
      </c>
    </row>
    <row r="26" spans="2:28" ht="15" thickBot="1" x14ac:dyDescent="0.45">
      <c r="B26" s="51" t="s">
        <v>83</v>
      </c>
      <c r="C26" s="52"/>
      <c r="D26" s="53"/>
      <c r="E26" s="54"/>
      <c r="F26" s="54"/>
      <c r="G26" s="54"/>
      <c r="H26" s="54"/>
      <c r="I26" s="54"/>
      <c r="J26" s="53"/>
      <c r="K26" s="54"/>
      <c r="L26" s="54"/>
      <c r="M26" s="54"/>
      <c r="N26" s="54"/>
      <c r="O26" s="54"/>
      <c r="P26" s="54"/>
      <c r="Q26" s="54"/>
      <c r="R26" s="53"/>
      <c r="S26" s="54"/>
      <c r="T26" s="54"/>
      <c r="U26" s="54"/>
      <c r="V26" s="54"/>
      <c r="W26" s="54"/>
      <c r="X26" s="54"/>
      <c r="Y26" s="54"/>
      <c r="Z26" s="54"/>
      <c r="AA26" s="54"/>
      <c r="AB26" s="53"/>
    </row>
    <row r="27" spans="2:28" x14ac:dyDescent="0.4">
      <c r="B27" s="72" t="s">
        <v>63</v>
      </c>
      <c r="C27" s="56"/>
      <c r="D27" s="57"/>
      <c r="E27" s="58"/>
      <c r="F27" s="58"/>
      <c r="G27" s="58"/>
      <c r="H27" s="58"/>
      <c r="I27" s="58"/>
      <c r="J27" s="57"/>
      <c r="K27" s="58"/>
      <c r="L27" s="58"/>
      <c r="M27" s="58"/>
      <c r="N27" s="58"/>
      <c r="O27" s="58"/>
      <c r="P27" s="58"/>
      <c r="Q27" s="58"/>
      <c r="R27" s="57"/>
      <c r="S27" s="58"/>
      <c r="T27" s="58"/>
      <c r="U27" s="58"/>
      <c r="V27" s="58"/>
      <c r="W27" s="58"/>
      <c r="X27" s="58"/>
      <c r="Y27" s="58"/>
      <c r="Z27" s="58"/>
      <c r="AA27" s="58"/>
      <c r="AB27" s="57"/>
    </row>
    <row r="28" spans="2:28" x14ac:dyDescent="0.4">
      <c r="B28" s="41" t="s">
        <v>75</v>
      </c>
      <c r="C28" s="69">
        <v>1</v>
      </c>
      <c r="D28" s="70">
        <v>1</v>
      </c>
      <c r="E28" s="71">
        <v>1</v>
      </c>
      <c r="F28" s="71">
        <v>1</v>
      </c>
      <c r="G28" s="71">
        <v>1</v>
      </c>
      <c r="H28" s="71">
        <v>1</v>
      </c>
      <c r="I28" s="71">
        <v>1</v>
      </c>
      <c r="J28" s="70">
        <v>1</v>
      </c>
      <c r="K28" s="71">
        <v>1</v>
      </c>
      <c r="L28" s="71">
        <v>1</v>
      </c>
      <c r="M28" s="71">
        <v>1</v>
      </c>
      <c r="N28" s="71">
        <v>1</v>
      </c>
      <c r="O28" s="71">
        <v>1</v>
      </c>
      <c r="P28" s="71">
        <v>1</v>
      </c>
      <c r="Q28" s="71">
        <v>1</v>
      </c>
      <c r="R28" s="70">
        <v>1</v>
      </c>
      <c r="S28" s="71">
        <v>1</v>
      </c>
      <c r="T28" s="71">
        <v>1</v>
      </c>
      <c r="U28" s="71">
        <v>1</v>
      </c>
      <c r="V28" s="71">
        <v>1</v>
      </c>
      <c r="W28" s="71">
        <v>1</v>
      </c>
      <c r="X28" s="71">
        <v>1</v>
      </c>
      <c r="Y28" s="71">
        <v>1</v>
      </c>
      <c r="Z28" s="71">
        <v>1</v>
      </c>
      <c r="AA28" s="71">
        <v>1</v>
      </c>
      <c r="AB28" s="70">
        <v>1</v>
      </c>
    </row>
    <row r="29" spans="2:28" x14ac:dyDescent="0.4">
      <c r="B29" s="39" t="s">
        <v>71</v>
      </c>
      <c r="C29" s="65"/>
      <c r="D29" s="66"/>
      <c r="E29" s="67"/>
      <c r="F29" s="67"/>
      <c r="G29" s="67"/>
      <c r="H29" s="67"/>
      <c r="I29" s="67"/>
      <c r="J29" s="66"/>
      <c r="K29" s="67"/>
      <c r="L29" s="67"/>
      <c r="M29" s="67"/>
      <c r="N29" s="67"/>
      <c r="O29" s="67"/>
      <c r="P29" s="67"/>
      <c r="Q29" s="67"/>
      <c r="R29" s="66"/>
      <c r="S29" s="67"/>
      <c r="T29" s="67"/>
      <c r="U29" s="67"/>
      <c r="V29" s="67"/>
      <c r="W29" s="67"/>
      <c r="X29" s="67"/>
      <c r="Y29" s="67"/>
      <c r="Z29" s="67"/>
      <c r="AA29" s="67"/>
      <c r="AB29" s="66"/>
    </row>
    <row r="30" spans="2:28" x14ac:dyDescent="0.4">
      <c r="B30" s="41" t="s">
        <v>75</v>
      </c>
      <c r="C30" s="62">
        <v>0</v>
      </c>
      <c r="D30" s="63">
        <v>0</v>
      </c>
      <c r="E30" s="68">
        <v>0</v>
      </c>
      <c r="F30" s="68">
        <v>0</v>
      </c>
      <c r="G30" s="68">
        <v>0</v>
      </c>
      <c r="H30" s="68">
        <v>0</v>
      </c>
      <c r="I30" s="68">
        <v>0</v>
      </c>
      <c r="J30" s="63">
        <v>0</v>
      </c>
      <c r="K30" s="68">
        <v>0</v>
      </c>
      <c r="L30" s="68">
        <v>0</v>
      </c>
      <c r="M30" s="68">
        <v>0</v>
      </c>
      <c r="N30" s="68">
        <v>0</v>
      </c>
      <c r="O30" s="68">
        <v>0</v>
      </c>
      <c r="P30" s="68">
        <v>0</v>
      </c>
      <c r="Q30" s="68">
        <v>0</v>
      </c>
      <c r="R30" s="63">
        <v>0</v>
      </c>
      <c r="S30" s="71">
        <v>1</v>
      </c>
      <c r="T30" s="71">
        <v>1</v>
      </c>
      <c r="U30" s="71">
        <v>1</v>
      </c>
      <c r="V30" s="71">
        <v>1</v>
      </c>
      <c r="W30" s="71">
        <v>1</v>
      </c>
      <c r="X30" s="71">
        <v>1</v>
      </c>
      <c r="Y30" s="71">
        <v>1</v>
      </c>
      <c r="Z30" s="71">
        <v>1</v>
      </c>
      <c r="AA30" s="71">
        <v>1</v>
      </c>
      <c r="AB30" s="70">
        <v>1</v>
      </c>
    </row>
    <row r="31" spans="2:28" x14ac:dyDescent="0.4">
      <c r="B31" s="75" t="s">
        <v>84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</row>
    <row r="32" spans="2:28" x14ac:dyDescent="0.4">
      <c r="B32" s="75" t="s">
        <v>85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</row>
  </sheetData>
  <mergeCells count="6">
    <mergeCell ref="C2:D2"/>
    <mergeCell ref="E2:J2"/>
    <mergeCell ref="K2:R2"/>
    <mergeCell ref="S2:AB2"/>
    <mergeCell ref="B31:L31"/>
    <mergeCell ref="B32:L32"/>
  </mergeCells>
  <pageMargins left="0.70866141732283472" right="0.70866141732283472" top="0.74803149606299213" bottom="0.74803149606299213" header="0.31496062992125984" footer="0.31496062992125984"/>
  <pageSetup paperSize="8"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62CB-BCD7-4CB2-8FE7-038A90E668FA}">
  <sheetPr>
    <pageSetUpPr fitToPage="1"/>
  </sheetPr>
  <dimension ref="C1:AD31"/>
  <sheetViews>
    <sheetView showGridLines="0" zoomScaleNormal="100" workbookViewId="0">
      <pane xSplit="3" ySplit="3" topLeftCell="D4" activePane="bottomRight" state="frozen"/>
      <selection activeCell="F16" sqref="F16"/>
      <selection pane="topRight" activeCell="F16" sqref="F16"/>
      <selection pane="bottomLeft" activeCell="F16" sqref="F16"/>
      <selection pane="bottomRight" activeCell="E2" sqref="E2:F2"/>
    </sheetView>
  </sheetViews>
  <sheetFormatPr defaultRowHeight="14.6" outlineLevelRow="1" x14ac:dyDescent="0.4"/>
  <cols>
    <col min="1" max="2" width="9.23046875" hidden="1" customWidth="1"/>
    <col min="3" max="3" width="34" bestFit="1" customWidth="1"/>
    <col min="4" max="4" width="11.84375" style="61" bestFit="1" customWidth="1"/>
    <col min="5" max="6" width="14.69140625" style="61" bestFit="1" customWidth="1"/>
    <col min="7" max="12" width="11.3046875" style="61" bestFit="1" customWidth="1"/>
    <col min="13" max="20" width="7.53515625" style="61" bestFit="1" customWidth="1"/>
    <col min="21" max="24" width="7.4609375" style="61" bestFit="1" customWidth="1"/>
    <col min="25" max="30" width="8.07421875" style="61" bestFit="1" customWidth="1"/>
  </cols>
  <sheetData>
    <row r="1" spans="3:30" ht="15" hidden="1" thickBot="1" x14ac:dyDescent="0.45">
      <c r="E1" s="45">
        <v>202504</v>
      </c>
      <c r="F1" s="45" t="str">
        <f>IF(RIGHT(E1,1)&lt;"4",E1+1,_xlfn.CONCAT(LEFT(E1,4)+1,"01"))</f>
        <v>202601</v>
      </c>
      <c r="G1" s="45">
        <f t="shared" ref="G1:AD1" si="0">IF(RIGHT(F1,1)&lt;"4",F1+1,_xlfn.CONCAT(LEFT(F1,4)+1,"01"))</f>
        <v>202602</v>
      </c>
      <c r="H1" s="45">
        <f t="shared" si="0"/>
        <v>202603</v>
      </c>
      <c r="I1" s="45">
        <f t="shared" si="0"/>
        <v>202604</v>
      </c>
      <c r="J1" s="45" t="str">
        <f t="shared" si="0"/>
        <v>202701</v>
      </c>
      <c r="K1" s="45">
        <f t="shared" si="0"/>
        <v>202702</v>
      </c>
      <c r="L1" s="45">
        <f t="shared" si="0"/>
        <v>202703</v>
      </c>
      <c r="M1" s="45">
        <f t="shared" si="0"/>
        <v>202704</v>
      </c>
      <c r="N1" s="45" t="str">
        <f t="shared" si="0"/>
        <v>202801</v>
      </c>
      <c r="O1" s="45">
        <f t="shared" si="0"/>
        <v>202802</v>
      </c>
      <c r="P1" s="45">
        <f t="shared" si="0"/>
        <v>202803</v>
      </c>
      <c r="Q1" s="45">
        <f t="shared" si="0"/>
        <v>202804</v>
      </c>
      <c r="R1" s="45" t="str">
        <f t="shared" si="0"/>
        <v>202901</v>
      </c>
      <c r="S1" s="45">
        <f t="shared" si="0"/>
        <v>202902</v>
      </c>
      <c r="T1" s="45">
        <f t="shared" si="0"/>
        <v>202903</v>
      </c>
      <c r="U1" s="45">
        <f t="shared" si="0"/>
        <v>202904</v>
      </c>
      <c r="V1" s="45" t="str">
        <f t="shared" si="0"/>
        <v>203001</v>
      </c>
      <c r="W1" s="45">
        <f t="shared" si="0"/>
        <v>203002</v>
      </c>
      <c r="X1" s="45">
        <f t="shared" si="0"/>
        <v>203003</v>
      </c>
      <c r="Y1" s="45">
        <f t="shared" si="0"/>
        <v>203004</v>
      </c>
      <c r="Z1" s="45" t="str">
        <f t="shared" si="0"/>
        <v>203101</v>
      </c>
      <c r="AA1" s="45">
        <f t="shared" si="0"/>
        <v>203102</v>
      </c>
      <c r="AB1" s="45">
        <f t="shared" si="0"/>
        <v>203103</v>
      </c>
      <c r="AC1" s="45">
        <f t="shared" si="0"/>
        <v>203104</v>
      </c>
      <c r="AD1" s="45" t="str">
        <f t="shared" si="0"/>
        <v>203201</v>
      </c>
    </row>
    <row r="2" spans="3:30" s="165" customFormat="1" ht="15" thickBot="1" x14ac:dyDescent="0.45">
      <c r="C2" s="170" t="s">
        <v>77</v>
      </c>
      <c r="D2" s="171"/>
      <c r="E2" s="167" t="s">
        <v>57</v>
      </c>
      <c r="F2" s="168"/>
      <c r="G2" s="169" t="s">
        <v>78</v>
      </c>
      <c r="H2" s="169"/>
      <c r="I2" s="169"/>
      <c r="J2" s="169"/>
      <c r="K2" s="169"/>
      <c r="L2" s="168"/>
      <c r="M2" s="169" t="s">
        <v>59</v>
      </c>
      <c r="N2" s="169"/>
      <c r="O2" s="169"/>
      <c r="P2" s="169"/>
      <c r="Q2" s="169"/>
      <c r="R2" s="169"/>
      <c r="S2" s="169"/>
      <c r="T2" s="168"/>
      <c r="U2" s="169" t="s">
        <v>60</v>
      </c>
      <c r="V2" s="169"/>
      <c r="W2" s="169"/>
      <c r="X2" s="169"/>
      <c r="Y2" s="169"/>
      <c r="Z2" s="169"/>
      <c r="AA2" s="169"/>
      <c r="AB2" s="169"/>
      <c r="AC2" s="169"/>
      <c r="AD2" s="168"/>
    </row>
    <row r="3" spans="3:30" ht="15" thickBot="1" x14ac:dyDescent="0.45">
      <c r="C3" s="76" t="s">
        <v>56</v>
      </c>
      <c r="D3" s="77" t="s">
        <v>86</v>
      </c>
      <c r="E3" s="78" t="str">
        <f t="shared" ref="E3:AD3" si="1">_xlfn.CONCAT("Q",RIGHT(E1,1), " '",RIGHT(LEFT(E1,4),2))</f>
        <v>Q4 '25</v>
      </c>
      <c r="F3" s="78" t="str">
        <f t="shared" si="1"/>
        <v>Q1 '26</v>
      </c>
      <c r="G3" s="78" t="str">
        <f t="shared" si="1"/>
        <v>Q2 '26</v>
      </c>
      <c r="H3" s="78" t="str">
        <f t="shared" si="1"/>
        <v>Q3 '26</v>
      </c>
      <c r="I3" s="78" t="str">
        <f t="shared" si="1"/>
        <v>Q4 '26</v>
      </c>
      <c r="J3" s="78" t="str">
        <f t="shared" si="1"/>
        <v>Q1 '27</v>
      </c>
      <c r="K3" s="78" t="str">
        <f t="shared" si="1"/>
        <v>Q2 '27</v>
      </c>
      <c r="L3" s="78" t="str">
        <f t="shared" si="1"/>
        <v>Q3 '27</v>
      </c>
      <c r="M3" s="78" t="str">
        <f t="shared" si="1"/>
        <v>Q4 '27</v>
      </c>
      <c r="N3" s="78" t="str">
        <f t="shared" si="1"/>
        <v>Q1 '28</v>
      </c>
      <c r="O3" s="78" t="str">
        <f t="shared" si="1"/>
        <v>Q2 '28</v>
      </c>
      <c r="P3" s="78" t="str">
        <f t="shared" si="1"/>
        <v>Q3 '28</v>
      </c>
      <c r="Q3" s="78" t="str">
        <f t="shared" si="1"/>
        <v>Q4 '28</v>
      </c>
      <c r="R3" s="78" t="str">
        <f t="shared" si="1"/>
        <v>Q1 '29</v>
      </c>
      <c r="S3" s="78" t="str">
        <f t="shared" si="1"/>
        <v>Q2 '29</v>
      </c>
      <c r="T3" s="78" t="str">
        <f t="shared" si="1"/>
        <v>Q3 '29</v>
      </c>
      <c r="U3" s="78" t="str">
        <f t="shared" si="1"/>
        <v>Q4 '29</v>
      </c>
      <c r="V3" s="78" t="str">
        <f t="shared" si="1"/>
        <v>Q1 '30</v>
      </c>
      <c r="W3" s="78" t="str">
        <f t="shared" si="1"/>
        <v>Q2 '30</v>
      </c>
      <c r="X3" s="78" t="str">
        <f t="shared" si="1"/>
        <v>Q3 '30</v>
      </c>
      <c r="Y3" s="78" t="str">
        <f t="shared" si="1"/>
        <v>Q4 '30</v>
      </c>
      <c r="Z3" s="78" t="str">
        <f t="shared" si="1"/>
        <v>Q1 '31</v>
      </c>
      <c r="AA3" s="78" t="str">
        <f t="shared" si="1"/>
        <v>Q2 '31</v>
      </c>
      <c r="AB3" s="78" t="str">
        <f t="shared" si="1"/>
        <v>Q3 '31</v>
      </c>
      <c r="AC3" s="78" t="str">
        <f t="shared" si="1"/>
        <v>Q4 '31</v>
      </c>
      <c r="AD3" s="79" t="str">
        <f t="shared" si="1"/>
        <v>Q1 '32</v>
      </c>
    </row>
    <row r="4" spans="3:30" ht="15" thickBot="1" x14ac:dyDescent="0.45">
      <c r="C4" s="80" t="s">
        <v>61</v>
      </c>
      <c r="D4" s="81"/>
      <c r="E4" s="82">
        <f>E5+E22+E27</f>
        <v>40000</v>
      </c>
      <c r="F4" s="82">
        <f>F5+F22+F27</f>
        <v>47500</v>
      </c>
      <c r="G4" s="82">
        <f>G5+G22+G27</f>
        <v>66500</v>
      </c>
      <c r="H4" s="82">
        <f>H5+H22+H27</f>
        <v>66500</v>
      </c>
      <c r="I4" s="82">
        <f>I5+I22+I27</f>
        <v>70000</v>
      </c>
      <c r="J4" s="82">
        <f>J5+J22+J27</f>
        <v>70000</v>
      </c>
      <c r="K4" s="82">
        <f>K5+K22+K27</f>
        <v>70000</v>
      </c>
      <c r="L4" s="82">
        <f>L5+L22+L27</f>
        <v>70000</v>
      </c>
      <c r="M4" s="82">
        <f>M5+M22+M27</f>
        <v>92500</v>
      </c>
      <c r="N4" s="82">
        <f>N5+N22+N27</f>
        <v>92500</v>
      </c>
      <c r="O4" s="82">
        <f>O5+O22+O27</f>
        <v>92500</v>
      </c>
      <c r="P4" s="82">
        <f>P5+P22+P27</f>
        <v>92500</v>
      </c>
      <c r="Q4" s="82">
        <f>Q5+Q22+Q27</f>
        <v>92500</v>
      </c>
      <c r="R4" s="82">
        <f>R5+R22+R27</f>
        <v>92500</v>
      </c>
      <c r="S4" s="82">
        <f>S5+S22+S27</f>
        <v>92500</v>
      </c>
      <c r="T4" s="82">
        <f>T5+T22+T27</f>
        <v>92500</v>
      </c>
      <c r="U4" s="82">
        <f>U5+U22+U27</f>
        <v>268000</v>
      </c>
      <c r="V4" s="82">
        <f>V5+V22+V27</f>
        <v>268000</v>
      </c>
      <c r="W4" s="82">
        <f>W5+W22+W27</f>
        <v>268000</v>
      </c>
      <c r="X4" s="82">
        <f>X5+X22+X27</f>
        <v>268000</v>
      </c>
      <c r="Y4" s="82">
        <f>Y5+Y22+Y27</f>
        <v>268000</v>
      </c>
      <c r="Z4" s="82">
        <f>Z5+Z22+Z27</f>
        <v>268000</v>
      </c>
      <c r="AA4" s="82">
        <f>AA5+AA22+AA27</f>
        <v>268000</v>
      </c>
      <c r="AB4" s="82">
        <f>AB5+AB22+AB27</f>
        <v>268000</v>
      </c>
      <c r="AC4" s="82">
        <f>AC5+AC22+AC27</f>
        <v>268000</v>
      </c>
      <c r="AD4" s="83">
        <f>AD5+AD22+AD27</f>
        <v>268000</v>
      </c>
    </row>
    <row r="5" spans="3:30" x14ac:dyDescent="0.4">
      <c r="C5" s="84" t="s">
        <v>62</v>
      </c>
      <c r="D5" s="85"/>
      <c r="E5" s="86">
        <f>E6+E14</f>
        <v>20000</v>
      </c>
      <c r="F5" s="87">
        <f t="shared" ref="F5:AD5" si="2">F6+F14</f>
        <v>27500</v>
      </c>
      <c r="G5" s="86">
        <f t="shared" si="2"/>
        <v>46500</v>
      </c>
      <c r="H5" s="86">
        <f t="shared" si="2"/>
        <v>46500</v>
      </c>
      <c r="I5" s="86">
        <f t="shared" si="2"/>
        <v>50000</v>
      </c>
      <c r="J5" s="86">
        <f t="shared" si="2"/>
        <v>50000</v>
      </c>
      <c r="K5" s="86">
        <f t="shared" si="2"/>
        <v>50000</v>
      </c>
      <c r="L5" s="87">
        <f t="shared" si="2"/>
        <v>50000</v>
      </c>
      <c r="M5" s="86">
        <f t="shared" si="2"/>
        <v>72500</v>
      </c>
      <c r="N5" s="86">
        <f t="shared" si="2"/>
        <v>72500</v>
      </c>
      <c r="O5" s="86">
        <f t="shared" si="2"/>
        <v>72500</v>
      </c>
      <c r="P5" s="86">
        <f t="shared" si="2"/>
        <v>72500</v>
      </c>
      <c r="Q5" s="86">
        <f t="shared" si="2"/>
        <v>72500</v>
      </c>
      <c r="R5" s="86">
        <f t="shared" si="2"/>
        <v>72500</v>
      </c>
      <c r="S5" s="86">
        <f t="shared" si="2"/>
        <v>72500</v>
      </c>
      <c r="T5" s="87">
        <f t="shared" si="2"/>
        <v>72500</v>
      </c>
      <c r="U5" s="86">
        <f t="shared" si="2"/>
        <v>228000</v>
      </c>
      <c r="V5" s="86">
        <f t="shared" si="2"/>
        <v>228000</v>
      </c>
      <c r="W5" s="86">
        <f t="shared" si="2"/>
        <v>228000</v>
      </c>
      <c r="X5" s="86">
        <f t="shared" si="2"/>
        <v>228000</v>
      </c>
      <c r="Y5" s="86">
        <f t="shared" si="2"/>
        <v>228000</v>
      </c>
      <c r="Z5" s="86">
        <f t="shared" si="2"/>
        <v>228000</v>
      </c>
      <c r="AA5" s="86">
        <f t="shared" si="2"/>
        <v>228000</v>
      </c>
      <c r="AB5" s="86">
        <f t="shared" si="2"/>
        <v>228000</v>
      </c>
      <c r="AC5" s="86">
        <f t="shared" si="2"/>
        <v>228000</v>
      </c>
      <c r="AD5" s="87">
        <f t="shared" si="2"/>
        <v>228000</v>
      </c>
    </row>
    <row r="6" spans="3:30" x14ac:dyDescent="0.4">
      <c r="C6" s="88" t="s">
        <v>63</v>
      </c>
      <c r="D6" s="89"/>
      <c r="E6" s="90">
        <f>SUM(E7:E13)</f>
        <v>20000</v>
      </c>
      <c r="F6" s="91">
        <f t="shared" ref="F6:AD6" si="3">SUM(F7:F13)</f>
        <v>27500</v>
      </c>
      <c r="G6" s="90">
        <f t="shared" si="3"/>
        <v>46500</v>
      </c>
      <c r="H6" s="90">
        <f t="shared" si="3"/>
        <v>46500</v>
      </c>
      <c r="I6" s="90">
        <f t="shared" si="3"/>
        <v>50000</v>
      </c>
      <c r="J6" s="90">
        <f t="shared" si="3"/>
        <v>50000</v>
      </c>
      <c r="K6" s="90">
        <f t="shared" si="3"/>
        <v>50000</v>
      </c>
      <c r="L6" s="91">
        <f t="shared" si="3"/>
        <v>50000</v>
      </c>
      <c r="M6" s="90">
        <f t="shared" si="3"/>
        <v>72500</v>
      </c>
      <c r="N6" s="90">
        <f t="shared" si="3"/>
        <v>72500</v>
      </c>
      <c r="O6" s="90">
        <f t="shared" si="3"/>
        <v>72500</v>
      </c>
      <c r="P6" s="90">
        <f t="shared" si="3"/>
        <v>72500</v>
      </c>
      <c r="Q6" s="90">
        <f t="shared" si="3"/>
        <v>72500</v>
      </c>
      <c r="R6" s="90">
        <f t="shared" si="3"/>
        <v>72500</v>
      </c>
      <c r="S6" s="90">
        <f t="shared" si="3"/>
        <v>72500</v>
      </c>
      <c r="T6" s="91">
        <f t="shared" si="3"/>
        <v>72500</v>
      </c>
      <c r="U6" s="90">
        <f t="shared" si="3"/>
        <v>114000</v>
      </c>
      <c r="V6" s="90">
        <f t="shared" si="3"/>
        <v>114000</v>
      </c>
      <c r="W6" s="90">
        <f t="shared" si="3"/>
        <v>114000</v>
      </c>
      <c r="X6" s="90">
        <f t="shared" si="3"/>
        <v>114000</v>
      </c>
      <c r="Y6" s="90">
        <f t="shared" si="3"/>
        <v>114000</v>
      </c>
      <c r="Z6" s="90">
        <f t="shared" si="3"/>
        <v>114000</v>
      </c>
      <c r="AA6" s="90">
        <f t="shared" si="3"/>
        <v>114000</v>
      </c>
      <c r="AB6" s="90">
        <f t="shared" si="3"/>
        <v>114000</v>
      </c>
      <c r="AC6" s="90">
        <f t="shared" si="3"/>
        <v>114000</v>
      </c>
      <c r="AD6" s="92">
        <f t="shared" si="3"/>
        <v>114000</v>
      </c>
    </row>
    <row r="7" spans="3:30" outlineLevel="1" x14ac:dyDescent="0.4">
      <c r="C7" s="93" t="s">
        <v>64</v>
      </c>
      <c r="D7" s="94">
        <f>60000/12</f>
        <v>5000</v>
      </c>
      <c r="E7" s="95">
        <f>OpexCapex!C6*$D7</f>
        <v>10000</v>
      </c>
      <c r="F7" s="96">
        <f>OpexCapex!D6*$D7</f>
        <v>10000</v>
      </c>
      <c r="G7" s="95">
        <f>OpexCapex!E6*$D7</f>
        <v>10000</v>
      </c>
      <c r="H7" s="95">
        <f>OpexCapex!F6*$D7</f>
        <v>10000</v>
      </c>
      <c r="I7" s="95">
        <f>OpexCapex!G6*$D7</f>
        <v>10000</v>
      </c>
      <c r="J7" s="95">
        <f>OpexCapex!H6*$D7</f>
        <v>10000</v>
      </c>
      <c r="K7" s="95">
        <f>OpexCapex!I6*$D7</f>
        <v>10000</v>
      </c>
      <c r="L7" s="96">
        <f>OpexCapex!J6*$D7</f>
        <v>10000</v>
      </c>
      <c r="M7" s="95">
        <f>OpexCapex!K6*$D7</f>
        <v>20000</v>
      </c>
      <c r="N7" s="95">
        <f>OpexCapex!L6*$D7</f>
        <v>20000</v>
      </c>
      <c r="O7" s="95">
        <f>OpexCapex!M6*$D7</f>
        <v>20000</v>
      </c>
      <c r="P7" s="95">
        <f>OpexCapex!N6*$D7</f>
        <v>20000</v>
      </c>
      <c r="Q7" s="95">
        <f>OpexCapex!O6*$D7</f>
        <v>20000</v>
      </c>
      <c r="R7" s="95">
        <f>OpexCapex!P6*$D7</f>
        <v>20000</v>
      </c>
      <c r="S7" s="95">
        <f>OpexCapex!Q6*$D7</f>
        <v>20000</v>
      </c>
      <c r="T7" s="96">
        <f>OpexCapex!R6*$D7</f>
        <v>20000</v>
      </c>
      <c r="U7" s="95">
        <f>OpexCapex!S6*$D7</f>
        <v>40000</v>
      </c>
      <c r="V7" s="95">
        <f>OpexCapex!T6*$D7</f>
        <v>40000</v>
      </c>
      <c r="W7" s="95">
        <f>OpexCapex!U6*$D7</f>
        <v>40000</v>
      </c>
      <c r="X7" s="95">
        <f>OpexCapex!V6*$D7</f>
        <v>40000</v>
      </c>
      <c r="Y7" s="95">
        <f>OpexCapex!W6*$D7</f>
        <v>40000</v>
      </c>
      <c r="Z7" s="95">
        <f>OpexCapex!X6*$D7</f>
        <v>40000</v>
      </c>
      <c r="AA7" s="95">
        <f>OpexCapex!Y6*$D7</f>
        <v>40000</v>
      </c>
      <c r="AB7" s="95">
        <f>OpexCapex!Z6*$D7</f>
        <v>40000</v>
      </c>
      <c r="AC7" s="95">
        <f>OpexCapex!AA6*$D7</f>
        <v>40000</v>
      </c>
      <c r="AD7" s="96">
        <f>OpexCapex!AB6*$D7</f>
        <v>40000</v>
      </c>
    </row>
    <row r="8" spans="3:30" outlineLevel="1" x14ac:dyDescent="0.4">
      <c r="C8" s="93" t="s">
        <v>65</v>
      </c>
      <c r="D8" s="94">
        <v>5000</v>
      </c>
      <c r="E8" s="95">
        <f>OpexCapex!C7*$D8</f>
        <v>10000</v>
      </c>
      <c r="F8" s="96">
        <f>OpexCapex!D7*$D8</f>
        <v>10000</v>
      </c>
      <c r="G8" s="95">
        <f>OpexCapex!E7*$D8</f>
        <v>15000</v>
      </c>
      <c r="H8" s="95">
        <f>OpexCapex!F7*$D8</f>
        <v>15000</v>
      </c>
      <c r="I8" s="95">
        <f>OpexCapex!G7*$D8</f>
        <v>15000</v>
      </c>
      <c r="J8" s="95">
        <f>OpexCapex!H7*$D8</f>
        <v>15000</v>
      </c>
      <c r="K8" s="95">
        <f>OpexCapex!I7*$D8</f>
        <v>15000</v>
      </c>
      <c r="L8" s="96">
        <f>OpexCapex!J7*$D8</f>
        <v>15000</v>
      </c>
      <c r="M8" s="95">
        <f>OpexCapex!K7*$D8</f>
        <v>20000</v>
      </c>
      <c r="N8" s="95">
        <f>OpexCapex!L7*$D8</f>
        <v>20000</v>
      </c>
      <c r="O8" s="95">
        <f>OpexCapex!M7*$D8</f>
        <v>20000</v>
      </c>
      <c r="P8" s="95">
        <f>OpexCapex!N7*$D8</f>
        <v>20000</v>
      </c>
      <c r="Q8" s="95">
        <f>OpexCapex!O7*$D8</f>
        <v>20000</v>
      </c>
      <c r="R8" s="95">
        <f>OpexCapex!P7*$D8</f>
        <v>20000</v>
      </c>
      <c r="S8" s="95">
        <f>OpexCapex!Q7*$D8</f>
        <v>20000</v>
      </c>
      <c r="T8" s="96">
        <f>OpexCapex!R7*$D8</f>
        <v>20000</v>
      </c>
      <c r="U8" s="95">
        <f>OpexCapex!S7*$D8</f>
        <v>20000</v>
      </c>
      <c r="V8" s="95">
        <f>OpexCapex!T7*$D8</f>
        <v>20000</v>
      </c>
      <c r="W8" s="95">
        <f>OpexCapex!U7*$D8</f>
        <v>20000</v>
      </c>
      <c r="X8" s="95">
        <f>OpexCapex!V7*$D8</f>
        <v>20000</v>
      </c>
      <c r="Y8" s="95">
        <f>OpexCapex!W7*$D8</f>
        <v>20000</v>
      </c>
      <c r="Z8" s="95">
        <f>OpexCapex!X7*$D8</f>
        <v>20000</v>
      </c>
      <c r="AA8" s="95">
        <f>OpexCapex!Y7*$D8</f>
        <v>20000</v>
      </c>
      <c r="AB8" s="95">
        <f>OpexCapex!Z7*$D8</f>
        <v>20000</v>
      </c>
      <c r="AC8" s="95">
        <f>OpexCapex!AA7*$D8</f>
        <v>20000</v>
      </c>
      <c r="AD8" s="96">
        <f>OpexCapex!AB7*$D8</f>
        <v>20000</v>
      </c>
    </row>
    <row r="9" spans="3:30" outlineLevel="1" x14ac:dyDescent="0.4">
      <c r="C9" s="93" t="s">
        <v>66</v>
      </c>
      <c r="D9" s="94">
        <v>3000</v>
      </c>
      <c r="E9" s="68">
        <f>OpexCapex!C8*$D9</f>
        <v>0</v>
      </c>
      <c r="F9" s="63">
        <f>OpexCapex!D8*$D9</f>
        <v>0</v>
      </c>
      <c r="G9" s="95">
        <f>OpexCapex!E8*$D9</f>
        <v>6000</v>
      </c>
      <c r="H9" s="95">
        <f>OpexCapex!F8*$D9</f>
        <v>6000</v>
      </c>
      <c r="I9" s="95">
        <f>OpexCapex!G8*$D9</f>
        <v>6000</v>
      </c>
      <c r="J9" s="95">
        <f>OpexCapex!H8*$D9</f>
        <v>6000</v>
      </c>
      <c r="K9" s="95">
        <f>OpexCapex!I8*$D9</f>
        <v>6000</v>
      </c>
      <c r="L9" s="96">
        <f>OpexCapex!J8*$D9</f>
        <v>6000</v>
      </c>
      <c r="M9" s="95">
        <f>OpexCapex!K8*$D9</f>
        <v>6000</v>
      </c>
      <c r="N9" s="95">
        <f>OpexCapex!L8*$D9</f>
        <v>6000</v>
      </c>
      <c r="O9" s="95">
        <f>OpexCapex!M8*$D9</f>
        <v>6000</v>
      </c>
      <c r="P9" s="95">
        <f>OpexCapex!N8*$D9</f>
        <v>6000</v>
      </c>
      <c r="Q9" s="95">
        <f>OpexCapex!O8*$D9</f>
        <v>6000</v>
      </c>
      <c r="R9" s="95">
        <f>OpexCapex!P8*$D9</f>
        <v>6000</v>
      </c>
      <c r="S9" s="95">
        <f>OpexCapex!Q8*$D9</f>
        <v>6000</v>
      </c>
      <c r="T9" s="96">
        <f>OpexCapex!R8*$D9</f>
        <v>6000</v>
      </c>
      <c r="U9" s="95">
        <f>OpexCapex!S8*$D9</f>
        <v>6000</v>
      </c>
      <c r="V9" s="95">
        <f>OpexCapex!T8*$D9</f>
        <v>6000</v>
      </c>
      <c r="W9" s="95">
        <f>OpexCapex!U8*$D9</f>
        <v>6000</v>
      </c>
      <c r="X9" s="95">
        <f>OpexCapex!V8*$D9</f>
        <v>6000</v>
      </c>
      <c r="Y9" s="95">
        <f>OpexCapex!W8*$D9</f>
        <v>6000</v>
      </c>
      <c r="Z9" s="95">
        <f>OpexCapex!X8*$D9</f>
        <v>6000</v>
      </c>
      <c r="AA9" s="95">
        <f>OpexCapex!Y8*$D9</f>
        <v>6000</v>
      </c>
      <c r="AB9" s="95">
        <f>OpexCapex!Z8*$D9</f>
        <v>6000</v>
      </c>
      <c r="AC9" s="95">
        <f>OpexCapex!AA8*$D9</f>
        <v>6000</v>
      </c>
      <c r="AD9" s="96">
        <f>OpexCapex!AB8*$D9</f>
        <v>6000</v>
      </c>
    </row>
    <row r="10" spans="3:30" outlineLevel="1" x14ac:dyDescent="0.4">
      <c r="C10" s="93" t="s">
        <v>67</v>
      </c>
      <c r="D10" s="94">
        <v>3000</v>
      </c>
      <c r="E10" s="68">
        <f>OpexCapex!C9*$D10</f>
        <v>0</v>
      </c>
      <c r="F10" s="63">
        <f>OpexCapex!D9*$D10</f>
        <v>0</v>
      </c>
      <c r="G10" s="95">
        <f>OpexCapex!E9*$D10</f>
        <v>3000</v>
      </c>
      <c r="H10" s="95">
        <f>OpexCapex!F9*$D10</f>
        <v>3000</v>
      </c>
      <c r="I10" s="95">
        <f>OpexCapex!G9*$D10</f>
        <v>3000</v>
      </c>
      <c r="J10" s="95">
        <f>OpexCapex!H9*$D10</f>
        <v>3000</v>
      </c>
      <c r="K10" s="95">
        <f>OpexCapex!I9*$D10</f>
        <v>3000</v>
      </c>
      <c r="L10" s="96">
        <f>OpexCapex!J9*$D10</f>
        <v>3000</v>
      </c>
      <c r="M10" s="95">
        <f>OpexCapex!K9*$D10</f>
        <v>3000</v>
      </c>
      <c r="N10" s="95">
        <f>OpexCapex!L9*$D10</f>
        <v>3000</v>
      </c>
      <c r="O10" s="95">
        <f>OpexCapex!M9*$D10</f>
        <v>3000</v>
      </c>
      <c r="P10" s="95">
        <f>OpexCapex!N9*$D10</f>
        <v>3000</v>
      </c>
      <c r="Q10" s="95">
        <f>OpexCapex!O9*$D10</f>
        <v>3000</v>
      </c>
      <c r="R10" s="95">
        <f>OpexCapex!P9*$D10</f>
        <v>3000</v>
      </c>
      <c r="S10" s="95">
        <f>OpexCapex!Q9*$D10</f>
        <v>3000</v>
      </c>
      <c r="T10" s="96">
        <f>OpexCapex!R9*$D10</f>
        <v>3000</v>
      </c>
      <c r="U10" s="95">
        <f>OpexCapex!S9*$D10</f>
        <v>6000</v>
      </c>
      <c r="V10" s="95">
        <f>OpexCapex!T9*$D10</f>
        <v>6000</v>
      </c>
      <c r="W10" s="95">
        <f>OpexCapex!U9*$D10</f>
        <v>6000</v>
      </c>
      <c r="X10" s="95">
        <f>OpexCapex!V9*$D10</f>
        <v>6000</v>
      </c>
      <c r="Y10" s="95">
        <f>OpexCapex!W9*$D10</f>
        <v>6000</v>
      </c>
      <c r="Z10" s="95">
        <f>OpexCapex!X9*$D10</f>
        <v>6000</v>
      </c>
      <c r="AA10" s="95">
        <f>OpexCapex!Y9*$D10</f>
        <v>6000</v>
      </c>
      <c r="AB10" s="95">
        <f>OpexCapex!Z9*$D10</f>
        <v>6000</v>
      </c>
      <c r="AC10" s="95">
        <f>OpexCapex!AA9*$D10</f>
        <v>6000</v>
      </c>
      <c r="AD10" s="96">
        <f>OpexCapex!AB9*$D10</f>
        <v>6000</v>
      </c>
    </row>
    <row r="11" spans="3:30" outlineLevel="1" x14ac:dyDescent="0.4">
      <c r="C11" s="93" t="s">
        <v>68</v>
      </c>
      <c r="D11" s="94">
        <v>2500</v>
      </c>
      <c r="E11" s="68">
        <f>OpexCapex!C10*$D11</f>
        <v>0</v>
      </c>
      <c r="F11" s="96">
        <f>OpexCapex!D10*$D11</f>
        <v>5000</v>
      </c>
      <c r="G11" s="95">
        <f>OpexCapex!E10*$D11</f>
        <v>10000</v>
      </c>
      <c r="H11" s="95">
        <f>OpexCapex!F10*$D11</f>
        <v>10000</v>
      </c>
      <c r="I11" s="95">
        <f>OpexCapex!G10*$D11</f>
        <v>10000</v>
      </c>
      <c r="J11" s="95">
        <f>OpexCapex!H10*$D11</f>
        <v>10000</v>
      </c>
      <c r="K11" s="95">
        <f>OpexCapex!I10*$D11</f>
        <v>10000</v>
      </c>
      <c r="L11" s="96">
        <f>OpexCapex!J10*$D11</f>
        <v>10000</v>
      </c>
      <c r="M11" s="95">
        <f>OpexCapex!K10*$D11</f>
        <v>15000</v>
      </c>
      <c r="N11" s="95">
        <f>OpexCapex!L10*$D11</f>
        <v>15000</v>
      </c>
      <c r="O11" s="95">
        <f>OpexCapex!M10*$D11</f>
        <v>15000</v>
      </c>
      <c r="P11" s="95">
        <f>OpexCapex!N10*$D11</f>
        <v>15000</v>
      </c>
      <c r="Q11" s="95">
        <f>OpexCapex!O10*$D11</f>
        <v>15000</v>
      </c>
      <c r="R11" s="95">
        <f>OpexCapex!P10*$D11</f>
        <v>15000</v>
      </c>
      <c r="S11" s="95">
        <f>OpexCapex!Q10*$D11</f>
        <v>15000</v>
      </c>
      <c r="T11" s="96">
        <f>OpexCapex!R10*$D11</f>
        <v>15000</v>
      </c>
      <c r="U11" s="95">
        <f>OpexCapex!S10*$D11</f>
        <v>25000</v>
      </c>
      <c r="V11" s="95">
        <f>OpexCapex!T10*$D11</f>
        <v>25000</v>
      </c>
      <c r="W11" s="95">
        <f>OpexCapex!U10*$D11</f>
        <v>25000</v>
      </c>
      <c r="X11" s="95">
        <f>OpexCapex!V10*$D11</f>
        <v>25000</v>
      </c>
      <c r="Y11" s="95">
        <f>OpexCapex!W10*$D11</f>
        <v>25000</v>
      </c>
      <c r="Z11" s="95">
        <f>OpexCapex!X10*$D11</f>
        <v>25000</v>
      </c>
      <c r="AA11" s="95">
        <f>OpexCapex!Y10*$D11</f>
        <v>25000</v>
      </c>
      <c r="AB11" s="95">
        <f>OpexCapex!Z10*$D11</f>
        <v>25000</v>
      </c>
      <c r="AC11" s="95">
        <f>OpexCapex!AA10*$D11</f>
        <v>25000</v>
      </c>
      <c r="AD11" s="96">
        <f>OpexCapex!AB10*$D11</f>
        <v>25000</v>
      </c>
    </row>
    <row r="12" spans="3:30" outlineLevel="1" x14ac:dyDescent="0.4">
      <c r="C12" s="93" t="s">
        <v>69</v>
      </c>
      <c r="D12" s="94">
        <v>2500</v>
      </c>
      <c r="E12" s="68">
        <f>OpexCapex!C11*$D12</f>
        <v>0</v>
      </c>
      <c r="F12" s="96">
        <f>OpexCapex!D11*$D12</f>
        <v>2500</v>
      </c>
      <c r="G12" s="95">
        <f>OpexCapex!E11*$D12</f>
        <v>2500</v>
      </c>
      <c r="H12" s="95">
        <f>OpexCapex!F11*$D12</f>
        <v>2500</v>
      </c>
      <c r="I12" s="95">
        <f>OpexCapex!G11*$D12</f>
        <v>2500</v>
      </c>
      <c r="J12" s="95">
        <f>OpexCapex!H11*$D12</f>
        <v>2500</v>
      </c>
      <c r="K12" s="95">
        <f>OpexCapex!I11*$D12</f>
        <v>2500</v>
      </c>
      <c r="L12" s="96">
        <f>OpexCapex!J11*$D12</f>
        <v>2500</v>
      </c>
      <c r="M12" s="95">
        <f>OpexCapex!K11*$D12</f>
        <v>5000</v>
      </c>
      <c r="N12" s="95">
        <f>OpexCapex!L11*$D12</f>
        <v>5000</v>
      </c>
      <c r="O12" s="95">
        <f>OpexCapex!M11*$D12</f>
        <v>5000</v>
      </c>
      <c r="P12" s="95">
        <f>OpexCapex!N11*$D12</f>
        <v>5000</v>
      </c>
      <c r="Q12" s="95">
        <f>OpexCapex!O11*$D12</f>
        <v>5000</v>
      </c>
      <c r="R12" s="95">
        <f>OpexCapex!P11*$D12</f>
        <v>5000</v>
      </c>
      <c r="S12" s="95">
        <f>OpexCapex!Q11*$D12</f>
        <v>5000</v>
      </c>
      <c r="T12" s="96">
        <f>OpexCapex!R11*$D12</f>
        <v>5000</v>
      </c>
      <c r="U12" s="95">
        <f>OpexCapex!S11*$D12</f>
        <v>10000</v>
      </c>
      <c r="V12" s="95">
        <f>OpexCapex!T11*$D12</f>
        <v>10000</v>
      </c>
      <c r="W12" s="95">
        <f>OpexCapex!U11*$D12</f>
        <v>10000</v>
      </c>
      <c r="X12" s="95">
        <f>OpexCapex!V11*$D12</f>
        <v>10000</v>
      </c>
      <c r="Y12" s="95">
        <f>OpexCapex!W11*$D12</f>
        <v>10000</v>
      </c>
      <c r="Z12" s="95">
        <f>OpexCapex!X11*$D12</f>
        <v>10000</v>
      </c>
      <c r="AA12" s="95">
        <f>OpexCapex!Y11*$D12</f>
        <v>10000</v>
      </c>
      <c r="AB12" s="95">
        <f>OpexCapex!Z11*$D12</f>
        <v>10000</v>
      </c>
      <c r="AC12" s="95">
        <f>OpexCapex!AA11*$D12</f>
        <v>10000</v>
      </c>
      <c r="AD12" s="96">
        <f>OpexCapex!AB11*$D12</f>
        <v>10000</v>
      </c>
    </row>
    <row r="13" spans="3:30" outlineLevel="1" x14ac:dyDescent="0.4">
      <c r="C13" s="93" t="s">
        <v>70</v>
      </c>
      <c r="D13" s="94">
        <v>3500</v>
      </c>
      <c r="E13" s="68">
        <f>OpexCapex!C12*$D13</f>
        <v>0</v>
      </c>
      <c r="F13" s="63">
        <f>OpexCapex!D12*$D13</f>
        <v>0</v>
      </c>
      <c r="G13" s="68">
        <f>OpexCapex!E12*$D13</f>
        <v>0</v>
      </c>
      <c r="H13" s="68">
        <f>OpexCapex!F12*$D13</f>
        <v>0</v>
      </c>
      <c r="I13" s="95">
        <f>OpexCapex!G12*$D13</f>
        <v>3500</v>
      </c>
      <c r="J13" s="95">
        <f>OpexCapex!H12*$D13</f>
        <v>3500</v>
      </c>
      <c r="K13" s="95">
        <f>OpexCapex!I12*$D13</f>
        <v>3500</v>
      </c>
      <c r="L13" s="96">
        <f>OpexCapex!J12*$D13</f>
        <v>3500</v>
      </c>
      <c r="M13" s="95">
        <f>OpexCapex!K12*$D13</f>
        <v>3500</v>
      </c>
      <c r="N13" s="95">
        <f>OpexCapex!L12*$D13</f>
        <v>3500</v>
      </c>
      <c r="O13" s="95">
        <f>OpexCapex!M12*$D13</f>
        <v>3500</v>
      </c>
      <c r="P13" s="95">
        <f>OpexCapex!N12*$D13</f>
        <v>3500</v>
      </c>
      <c r="Q13" s="95">
        <f>OpexCapex!O12*$D13</f>
        <v>3500</v>
      </c>
      <c r="R13" s="95">
        <f>OpexCapex!P12*$D13</f>
        <v>3500</v>
      </c>
      <c r="S13" s="95">
        <f>OpexCapex!Q12*$D13</f>
        <v>3500</v>
      </c>
      <c r="T13" s="96">
        <f>OpexCapex!R12*$D13</f>
        <v>3500</v>
      </c>
      <c r="U13" s="95">
        <f>OpexCapex!S12*$D13</f>
        <v>7000</v>
      </c>
      <c r="V13" s="95">
        <f>OpexCapex!T12*$D13</f>
        <v>7000</v>
      </c>
      <c r="W13" s="95">
        <f>OpexCapex!U12*$D13</f>
        <v>7000</v>
      </c>
      <c r="X13" s="95">
        <f>OpexCapex!V12*$D13</f>
        <v>7000</v>
      </c>
      <c r="Y13" s="95">
        <f>OpexCapex!W12*$D13</f>
        <v>7000</v>
      </c>
      <c r="Z13" s="95">
        <f>OpexCapex!X12*$D13</f>
        <v>7000</v>
      </c>
      <c r="AA13" s="95">
        <f>OpexCapex!Y12*$D13</f>
        <v>7000</v>
      </c>
      <c r="AB13" s="95">
        <f>OpexCapex!Z12*$D13</f>
        <v>7000</v>
      </c>
      <c r="AC13" s="95">
        <f>OpexCapex!AA12*$D13</f>
        <v>7000</v>
      </c>
      <c r="AD13" s="96">
        <f>OpexCapex!AB12*$D13</f>
        <v>7000</v>
      </c>
    </row>
    <row r="14" spans="3:30" x14ac:dyDescent="0.4">
      <c r="C14" s="88" t="s">
        <v>71</v>
      </c>
      <c r="D14" s="89"/>
      <c r="E14" s="97">
        <f>SUM(E15:E21)</f>
        <v>0</v>
      </c>
      <c r="F14" s="98">
        <f t="shared" ref="F14:AD14" si="4">SUM(F15:F21)</f>
        <v>0</v>
      </c>
      <c r="G14" s="97">
        <f t="shared" si="4"/>
        <v>0</v>
      </c>
      <c r="H14" s="97">
        <f t="shared" si="4"/>
        <v>0</v>
      </c>
      <c r="I14" s="97">
        <f t="shared" si="4"/>
        <v>0</v>
      </c>
      <c r="J14" s="97">
        <f t="shared" si="4"/>
        <v>0</v>
      </c>
      <c r="K14" s="97">
        <f t="shared" si="4"/>
        <v>0</v>
      </c>
      <c r="L14" s="98">
        <f t="shared" si="4"/>
        <v>0</v>
      </c>
      <c r="M14" s="97">
        <f t="shared" si="4"/>
        <v>0</v>
      </c>
      <c r="N14" s="97">
        <f t="shared" si="4"/>
        <v>0</v>
      </c>
      <c r="O14" s="97">
        <f t="shared" si="4"/>
        <v>0</v>
      </c>
      <c r="P14" s="97">
        <f t="shared" si="4"/>
        <v>0</v>
      </c>
      <c r="Q14" s="97">
        <f t="shared" si="4"/>
        <v>0</v>
      </c>
      <c r="R14" s="97">
        <f t="shared" si="4"/>
        <v>0</v>
      </c>
      <c r="S14" s="97">
        <f t="shared" si="4"/>
        <v>0</v>
      </c>
      <c r="T14" s="98">
        <f t="shared" si="4"/>
        <v>0</v>
      </c>
      <c r="U14" s="90">
        <f t="shared" si="4"/>
        <v>114000</v>
      </c>
      <c r="V14" s="90">
        <f t="shared" si="4"/>
        <v>114000</v>
      </c>
      <c r="W14" s="90">
        <f t="shared" si="4"/>
        <v>114000</v>
      </c>
      <c r="X14" s="90">
        <f t="shared" si="4"/>
        <v>114000</v>
      </c>
      <c r="Y14" s="90">
        <f t="shared" si="4"/>
        <v>114000</v>
      </c>
      <c r="Z14" s="90">
        <f t="shared" si="4"/>
        <v>114000</v>
      </c>
      <c r="AA14" s="90">
        <f t="shared" si="4"/>
        <v>114000</v>
      </c>
      <c r="AB14" s="90">
        <f t="shared" si="4"/>
        <v>114000</v>
      </c>
      <c r="AC14" s="90">
        <f t="shared" si="4"/>
        <v>114000</v>
      </c>
      <c r="AD14" s="92">
        <f t="shared" si="4"/>
        <v>114000</v>
      </c>
    </row>
    <row r="15" spans="3:30" outlineLevel="1" x14ac:dyDescent="0.4">
      <c r="C15" s="93" t="s">
        <v>64</v>
      </c>
      <c r="D15" s="94">
        <f>60000/12</f>
        <v>5000</v>
      </c>
      <c r="E15" s="68">
        <f>$D15*OpexCapex!C14</f>
        <v>0</v>
      </c>
      <c r="F15" s="63">
        <f>$D15*OpexCapex!D14</f>
        <v>0</v>
      </c>
      <c r="G15" s="68">
        <f>$D15*OpexCapex!E14</f>
        <v>0</v>
      </c>
      <c r="H15" s="68">
        <f>$D15*OpexCapex!F14</f>
        <v>0</v>
      </c>
      <c r="I15" s="68">
        <f>$D15*OpexCapex!G14</f>
        <v>0</v>
      </c>
      <c r="J15" s="68">
        <f>$D15*OpexCapex!H14</f>
        <v>0</v>
      </c>
      <c r="K15" s="68">
        <f>$D15*OpexCapex!I14</f>
        <v>0</v>
      </c>
      <c r="L15" s="63">
        <f>$D15*OpexCapex!J14</f>
        <v>0</v>
      </c>
      <c r="M15" s="68">
        <f>$D15*OpexCapex!K14</f>
        <v>0</v>
      </c>
      <c r="N15" s="68">
        <f>$D15*OpexCapex!L14</f>
        <v>0</v>
      </c>
      <c r="O15" s="68">
        <f>$D15*OpexCapex!M14</f>
        <v>0</v>
      </c>
      <c r="P15" s="68">
        <f>$D15*OpexCapex!N14</f>
        <v>0</v>
      </c>
      <c r="Q15" s="68">
        <f>$D15*OpexCapex!O14</f>
        <v>0</v>
      </c>
      <c r="R15" s="68">
        <f>$D15*OpexCapex!P14</f>
        <v>0</v>
      </c>
      <c r="S15" s="68">
        <f>$D15*OpexCapex!Q14</f>
        <v>0</v>
      </c>
      <c r="T15" s="63">
        <f>$D15*OpexCapex!R14</f>
        <v>0</v>
      </c>
      <c r="U15" s="95">
        <f>$D15*OpexCapex!S14</f>
        <v>40000</v>
      </c>
      <c r="V15" s="95">
        <f>$D15*OpexCapex!T14</f>
        <v>40000</v>
      </c>
      <c r="W15" s="95">
        <f>$D15*OpexCapex!U14</f>
        <v>40000</v>
      </c>
      <c r="X15" s="95">
        <f>$D15*OpexCapex!V14</f>
        <v>40000</v>
      </c>
      <c r="Y15" s="95">
        <f>$D15*OpexCapex!W14</f>
        <v>40000</v>
      </c>
      <c r="Z15" s="95">
        <f>$D15*OpexCapex!X14</f>
        <v>40000</v>
      </c>
      <c r="AA15" s="95">
        <f>$D15*OpexCapex!Y14</f>
        <v>40000</v>
      </c>
      <c r="AB15" s="95">
        <f>$D15*OpexCapex!Z14</f>
        <v>40000</v>
      </c>
      <c r="AC15" s="95">
        <f>$D15*OpexCapex!AA14</f>
        <v>40000</v>
      </c>
      <c r="AD15" s="96">
        <f>$D15*OpexCapex!AB14</f>
        <v>40000</v>
      </c>
    </row>
    <row r="16" spans="3:30" outlineLevel="1" x14ac:dyDescent="0.4">
      <c r="C16" s="93" t="s">
        <v>65</v>
      </c>
      <c r="D16" s="94">
        <v>5000</v>
      </c>
      <c r="E16" s="68">
        <f>$D16*OpexCapex!C15</f>
        <v>0</v>
      </c>
      <c r="F16" s="63">
        <f>$D16*OpexCapex!D15</f>
        <v>0</v>
      </c>
      <c r="G16" s="68">
        <f>$D16*OpexCapex!E15</f>
        <v>0</v>
      </c>
      <c r="H16" s="68">
        <f>$D16*OpexCapex!F15</f>
        <v>0</v>
      </c>
      <c r="I16" s="68">
        <f>$D16*OpexCapex!G15</f>
        <v>0</v>
      </c>
      <c r="J16" s="68">
        <f>$D16*OpexCapex!H15</f>
        <v>0</v>
      </c>
      <c r="K16" s="68">
        <f>$D16*OpexCapex!I15</f>
        <v>0</v>
      </c>
      <c r="L16" s="63">
        <f>$D16*OpexCapex!J15</f>
        <v>0</v>
      </c>
      <c r="M16" s="68">
        <f>$D16*OpexCapex!K15</f>
        <v>0</v>
      </c>
      <c r="N16" s="68">
        <f>$D16*OpexCapex!L15</f>
        <v>0</v>
      </c>
      <c r="O16" s="68">
        <f>$D16*OpexCapex!M15</f>
        <v>0</v>
      </c>
      <c r="P16" s="68">
        <f>$D16*OpexCapex!N15</f>
        <v>0</v>
      </c>
      <c r="Q16" s="68">
        <f>$D16*OpexCapex!O15</f>
        <v>0</v>
      </c>
      <c r="R16" s="68">
        <f>$D16*OpexCapex!P15</f>
        <v>0</v>
      </c>
      <c r="S16" s="68">
        <f>$D16*OpexCapex!Q15</f>
        <v>0</v>
      </c>
      <c r="T16" s="63">
        <f>$D16*OpexCapex!R15</f>
        <v>0</v>
      </c>
      <c r="U16" s="95">
        <f>$D16*OpexCapex!S15</f>
        <v>20000</v>
      </c>
      <c r="V16" s="95">
        <f>$D16*OpexCapex!T15</f>
        <v>20000</v>
      </c>
      <c r="W16" s="95">
        <f>$D16*OpexCapex!U15</f>
        <v>20000</v>
      </c>
      <c r="X16" s="95">
        <f>$D16*OpexCapex!V15</f>
        <v>20000</v>
      </c>
      <c r="Y16" s="95">
        <f>$D16*OpexCapex!W15</f>
        <v>20000</v>
      </c>
      <c r="Z16" s="95">
        <f>$D16*OpexCapex!X15</f>
        <v>20000</v>
      </c>
      <c r="AA16" s="95">
        <f>$D16*OpexCapex!Y15</f>
        <v>20000</v>
      </c>
      <c r="AB16" s="95">
        <f>$D16*OpexCapex!Z15</f>
        <v>20000</v>
      </c>
      <c r="AC16" s="95">
        <f>$D16*OpexCapex!AA15</f>
        <v>20000</v>
      </c>
      <c r="AD16" s="96">
        <f>$D16*OpexCapex!AB15</f>
        <v>20000</v>
      </c>
    </row>
    <row r="17" spans="3:30" outlineLevel="1" x14ac:dyDescent="0.4">
      <c r="C17" s="93" t="s">
        <v>66</v>
      </c>
      <c r="D17" s="94">
        <v>3000</v>
      </c>
      <c r="E17" s="68">
        <f>$D17*OpexCapex!C16</f>
        <v>0</v>
      </c>
      <c r="F17" s="63">
        <f>$D17*OpexCapex!D16</f>
        <v>0</v>
      </c>
      <c r="G17" s="68">
        <f>$D17*OpexCapex!E16</f>
        <v>0</v>
      </c>
      <c r="H17" s="68">
        <f>$D17*OpexCapex!F16</f>
        <v>0</v>
      </c>
      <c r="I17" s="68">
        <f>$D17*OpexCapex!G16</f>
        <v>0</v>
      </c>
      <c r="J17" s="68">
        <f>$D17*OpexCapex!H16</f>
        <v>0</v>
      </c>
      <c r="K17" s="68">
        <f>$D17*OpexCapex!I16</f>
        <v>0</v>
      </c>
      <c r="L17" s="63">
        <f>$D17*OpexCapex!J16</f>
        <v>0</v>
      </c>
      <c r="M17" s="68">
        <f>$D17*OpexCapex!K16</f>
        <v>0</v>
      </c>
      <c r="N17" s="68">
        <f>$D17*OpexCapex!L16</f>
        <v>0</v>
      </c>
      <c r="O17" s="68">
        <f>$D17*OpexCapex!M16</f>
        <v>0</v>
      </c>
      <c r="P17" s="68">
        <f>$D17*OpexCapex!N16</f>
        <v>0</v>
      </c>
      <c r="Q17" s="68">
        <f>$D17*OpexCapex!O16</f>
        <v>0</v>
      </c>
      <c r="R17" s="68">
        <f>$D17*OpexCapex!P16</f>
        <v>0</v>
      </c>
      <c r="S17" s="68">
        <f>$D17*OpexCapex!Q16</f>
        <v>0</v>
      </c>
      <c r="T17" s="63">
        <f>$D17*OpexCapex!R16</f>
        <v>0</v>
      </c>
      <c r="U17" s="95">
        <f>$D17*OpexCapex!S16</f>
        <v>6000</v>
      </c>
      <c r="V17" s="95">
        <f>$D17*OpexCapex!T16</f>
        <v>6000</v>
      </c>
      <c r="W17" s="95">
        <f>$D17*OpexCapex!U16</f>
        <v>6000</v>
      </c>
      <c r="X17" s="95">
        <f>$D17*OpexCapex!V16</f>
        <v>6000</v>
      </c>
      <c r="Y17" s="95">
        <f>$D17*OpexCapex!W16</f>
        <v>6000</v>
      </c>
      <c r="Z17" s="95">
        <f>$D17*OpexCapex!X16</f>
        <v>6000</v>
      </c>
      <c r="AA17" s="95">
        <f>$D17*OpexCapex!Y16</f>
        <v>6000</v>
      </c>
      <c r="AB17" s="95">
        <f>$D17*OpexCapex!Z16</f>
        <v>6000</v>
      </c>
      <c r="AC17" s="95">
        <f>$D17*OpexCapex!AA16</f>
        <v>6000</v>
      </c>
      <c r="AD17" s="96">
        <f>$D17*OpexCapex!AB16</f>
        <v>6000</v>
      </c>
    </row>
    <row r="18" spans="3:30" outlineLevel="1" x14ac:dyDescent="0.4">
      <c r="C18" s="93" t="s">
        <v>67</v>
      </c>
      <c r="D18" s="94">
        <v>3000</v>
      </c>
      <c r="E18" s="68">
        <f>$D18*OpexCapex!C17</f>
        <v>0</v>
      </c>
      <c r="F18" s="63">
        <f>$D18*OpexCapex!D17</f>
        <v>0</v>
      </c>
      <c r="G18" s="68">
        <f>$D18*OpexCapex!E17</f>
        <v>0</v>
      </c>
      <c r="H18" s="68">
        <f>$D18*OpexCapex!F17</f>
        <v>0</v>
      </c>
      <c r="I18" s="68">
        <f>$D18*OpexCapex!G17</f>
        <v>0</v>
      </c>
      <c r="J18" s="68">
        <f>$D18*OpexCapex!H17</f>
        <v>0</v>
      </c>
      <c r="K18" s="68">
        <f>$D18*OpexCapex!I17</f>
        <v>0</v>
      </c>
      <c r="L18" s="63">
        <f>$D18*OpexCapex!J17</f>
        <v>0</v>
      </c>
      <c r="M18" s="68">
        <f>$D18*OpexCapex!K17</f>
        <v>0</v>
      </c>
      <c r="N18" s="68">
        <f>$D18*OpexCapex!L17</f>
        <v>0</v>
      </c>
      <c r="O18" s="68">
        <f>$D18*OpexCapex!M17</f>
        <v>0</v>
      </c>
      <c r="P18" s="68">
        <f>$D18*OpexCapex!N17</f>
        <v>0</v>
      </c>
      <c r="Q18" s="68">
        <f>$D18*OpexCapex!O17</f>
        <v>0</v>
      </c>
      <c r="R18" s="68">
        <f>$D18*OpexCapex!P17</f>
        <v>0</v>
      </c>
      <c r="S18" s="68">
        <f>$D18*OpexCapex!Q17</f>
        <v>0</v>
      </c>
      <c r="T18" s="63">
        <f>$D18*OpexCapex!R17</f>
        <v>0</v>
      </c>
      <c r="U18" s="95">
        <f>$D18*OpexCapex!S17</f>
        <v>6000</v>
      </c>
      <c r="V18" s="95">
        <f>$D18*OpexCapex!T17</f>
        <v>6000</v>
      </c>
      <c r="W18" s="95">
        <f>$D18*OpexCapex!U17</f>
        <v>6000</v>
      </c>
      <c r="X18" s="95">
        <f>$D18*OpexCapex!V17</f>
        <v>6000</v>
      </c>
      <c r="Y18" s="95">
        <f>$D18*OpexCapex!W17</f>
        <v>6000</v>
      </c>
      <c r="Z18" s="95">
        <f>$D18*OpexCapex!X17</f>
        <v>6000</v>
      </c>
      <c r="AA18" s="95">
        <f>$D18*OpexCapex!Y17</f>
        <v>6000</v>
      </c>
      <c r="AB18" s="95">
        <f>$D18*OpexCapex!Z17</f>
        <v>6000</v>
      </c>
      <c r="AC18" s="95">
        <f>$D18*OpexCapex!AA17</f>
        <v>6000</v>
      </c>
      <c r="AD18" s="96">
        <f>$D18*OpexCapex!AB17</f>
        <v>6000</v>
      </c>
    </row>
    <row r="19" spans="3:30" outlineLevel="1" x14ac:dyDescent="0.4">
      <c r="C19" s="93" t="s">
        <v>68</v>
      </c>
      <c r="D19" s="94">
        <v>2500</v>
      </c>
      <c r="E19" s="68">
        <f>$D19*OpexCapex!C18</f>
        <v>0</v>
      </c>
      <c r="F19" s="63">
        <f>$D19*OpexCapex!D18</f>
        <v>0</v>
      </c>
      <c r="G19" s="68">
        <f>$D19*OpexCapex!E18</f>
        <v>0</v>
      </c>
      <c r="H19" s="68">
        <f>$D19*OpexCapex!F18</f>
        <v>0</v>
      </c>
      <c r="I19" s="68">
        <f>$D19*OpexCapex!G18</f>
        <v>0</v>
      </c>
      <c r="J19" s="68">
        <f>$D19*OpexCapex!H18</f>
        <v>0</v>
      </c>
      <c r="K19" s="68">
        <f>$D19*OpexCapex!I18</f>
        <v>0</v>
      </c>
      <c r="L19" s="63">
        <f>$D19*OpexCapex!J18</f>
        <v>0</v>
      </c>
      <c r="M19" s="68">
        <f>$D19*OpexCapex!K18</f>
        <v>0</v>
      </c>
      <c r="N19" s="68">
        <f>$D19*OpexCapex!L18</f>
        <v>0</v>
      </c>
      <c r="O19" s="68">
        <f>$D19*OpexCapex!M18</f>
        <v>0</v>
      </c>
      <c r="P19" s="68">
        <f>$D19*OpexCapex!N18</f>
        <v>0</v>
      </c>
      <c r="Q19" s="68">
        <f>$D19*OpexCapex!O18</f>
        <v>0</v>
      </c>
      <c r="R19" s="68">
        <f>$D19*OpexCapex!P18</f>
        <v>0</v>
      </c>
      <c r="S19" s="68">
        <f>$D19*OpexCapex!Q18</f>
        <v>0</v>
      </c>
      <c r="T19" s="63">
        <f>$D19*OpexCapex!R18</f>
        <v>0</v>
      </c>
      <c r="U19" s="95">
        <f>$D19*OpexCapex!S18</f>
        <v>25000</v>
      </c>
      <c r="V19" s="95">
        <f>$D19*OpexCapex!T18</f>
        <v>25000</v>
      </c>
      <c r="W19" s="95">
        <f>$D19*OpexCapex!U18</f>
        <v>25000</v>
      </c>
      <c r="X19" s="95">
        <f>$D19*OpexCapex!V18</f>
        <v>25000</v>
      </c>
      <c r="Y19" s="95">
        <f>$D19*OpexCapex!W18</f>
        <v>25000</v>
      </c>
      <c r="Z19" s="95">
        <f>$D19*OpexCapex!X18</f>
        <v>25000</v>
      </c>
      <c r="AA19" s="95">
        <f>$D19*OpexCapex!Y18</f>
        <v>25000</v>
      </c>
      <c r="AB19" s="95">
        <f>$D19*OpexCapex!Z18</f>
        <v>25000</v>
      </c>
      <c r="AC19" s="95">
        <f>$D19*OpexCapex!AA18</f>
        <v>25000</v>
      </c>
      <c r="AD19" s="96">
        <f>$D19*OpexCapex!AB18</f>
        <v>25000</v>
      </c>
    </row>
    <row r="20" spans="3:30" outlineLevel="1" x14ac:dyDescent="0.4">
      <c r="C20" s="93" t="s">
        <v>69</v>
      </c>
      <c r="D20" s="94">
        <v>2500</v>
      </c>
      <c r="E20" s="68">
        <f>$D20*OpexCapex!C19</f>
        <v>0</v>
      </c>
      <c r="F20" s="63">
        <f>$D20*OpexCapex!D19</f>
        <v>0</v>
      </c>
      <c r="G20" s="68">
        <f>$D20*OpexCapex!E19</f>
        <v>0</v>
      </c>
      <c r="H20" s="68">
        <f>$D20*OpexCapex!F19</f>
        <v>0</v>
      </c>
      <c r="I20" s="68">
        <f>$D20*OpexCapex!G19</f>
        <v>0</v>
      </c>
      <c r="J20" s="68">
        <f>$D20*OpexCapex!H19</f>
        <v>0</v>
      </c>
      <c r="K20" s="68">
        <f>$D20*OpexCapex!I19</f>
        <v>0</v>
      </c>
      <c r="L20" s="63">
        <f>$D20*OpexCapex!J19</f>
        <v>0</v>
      </c>
      <c r="M20" s="68">
        <f>$D20*OpexCapex!K19</f>
        <v>0</v>
      </c>
      <c r="N20" s="68">
        <f>$D20*OpexCapex!L19</f>
        <v>0</v>
      </c>
      <c r="O20" s="68">
        <f>$D20*OpexCapex!M19</f>
        <v>0</v>
      </c>
      <c r="P20" s="68">
        <f>$D20*OpexCapex!N19</f>
        <v>0</v>
      </c>
      <c r="Q20" s="68">
        <f>$D20*OpexCapex!O19</f>
        <v>0</v>
      </c>
      <c r="R20" s="68">
        <f>$D20*OpexCapex!P19</f>
        <v>0</v>
      </c>
      <c r="S20" s="68">
        <f>$D20*OpexCapex!Q19</f>
        <v>0</v>
      </c>
      <c r="T20" s="63">
        <f>$D20*OpexCapex!R19</f>
        <v>0</v>
      </c>
      <c r="U20" s="95">
        <f>$D20*OpexCapex!S19</f>
        <v>10000</v>
      </c>
      <c r="V20" s="95">
        <f>$D20*OpexCapex!T19</f>
        <v>10000</v>
      </c>
      <c r="W20" s="95">
        <f>$D20*OpexCapex!U19</f>
        <v>10000</v>
      </c>
      <c r="X20" s="95">
        <f>$D20*OpexCapex!V19</f>
        <v>10000</v>
      </c>
      <c r="Y20" s="95">
        <f>$D20*OpexCapex!W19</f>
        <v>10000</v>
      </c>
      <c r="Z20" s="95">
        <f>$D20*OpexCapex!X19</f>
        <v>10000</v>
      </c>
      <c r="AA20" s="95">
        <f>$D20*OpexCapex!Y19</f>
        <v>10000</v>
      </c>
      <c r="AB20" s="95">
        <f>$D20*OpexCapex!Z19</f>
        <v>10000</v>
      </c>
      <c r="AC20" s="95">
        <f>$D20*OpexCapex!AA19</f>
        <v>10000</v>
      </c>
      <c r="AD20" s="96">
        <f>$D20*OpexCapex!AB19</f>
        <v>10000</v>
      </c>
    </row>
    <row r="21" spans="3:30" ht="15" outlineLevel="1" thickBot="1" x14ac:dyDescent="0.45">
      <c r="C21" s="99" t="s">
        <v>70</v>
      </c>
      <c r="D21" s="100">
        <v>3500</v>
      </c>
      <c r="E21" s="74">
        <f>$D21*OpexCapex!C20</f>
        <v>0</v>
      </c>
      <c r="F21" s="73">
        <f>$D21*OpexCapex!D20</f>
        <v>0</v>
      </c>
      <c r="G21" s="74">
        <f>$D21*OpexCapex!E20</f>
        <v>0</v>
      </c>
      <c r="H21" s="74">
        <f>$D21*OpexCapex!F20</f>
        <v>0</v>
      </c>
      <c r="I21" s="74">
        <f>$D21*OpexCapex!G20</f>
        <v>0</v>
      </c>
      <c r="J21" s="74">
        <f>$D21*OpexCapex!H20</f>
        <v>0</v>
      </c>
      <c r="K21" s="74">
        <f>$D21*OpexCapex!I20</f>
        <v>0</v>
      </c>
      <c r="L21" s="73">
        <f>$D21*OpexCapex!J20</f>
        <v>0</v>
      </c>
      <c r="M21" s="74">
        <f>$D21*OpexCapex!K20</f>
        <v>0</v>
      </c>
      <c r="N21" s="74">
        <f>$D21*OpexCapex!L20</f>
        <v>0</v>
      </c>
      <c r="O21" s="74">
        <f>$D21*OpexCapex!M20</f>
        <v>0</v>
      </c>
      <c r="P21" s="74">
        <f>$D21*OpexCapex!N20</f>
        <v>0</v>
      </c>
      <c r="Q21" s="74">
        <f>$D21*OpexCapex!O20</f>
        <v>0</v>
      </c>
      <c r="R21" s="74">
        <f>$D21*OpexCapex!P20</f>
        <v>0</v>
      </c>
      <c r="S21" s="74">
        <f>$D21*OpexCapex!Q20</f>
        <v>0</v>
      </c>
      <c r="T21" s="73">
        <f>$D21*OpexCapex!R20</f>
        <v>0</v>
      </c>
      <c r="U21" s="101">
        <f>$D21*OpexCapex!S20</f>
        <v>7000</v>
      </c>
      <c r="V21" s="101">
        <f>$D21*OpexCapex!T20</f>
        <v>7000</v>
      </c>
      <c r="W21" s="101">
        <f>$D21*OpexCapex!U20</f>
        <v>7000</v>
      </c>
      <c r="X21" s="101">
        <f>$D21*OpexCapex!V20</f>
        <v>7000</v>
      </c>
      <c r="Y21" s="101">
        <f>$D21*OpexCapex!W20</f>
        <v>7000</v>
      </c>
      <c r="Z21" s="101">
        <f>$D21*OpexCapex!X20</f>
        <v>7000</v>
      </c>
      <c r="AA21" s="101">
        <f>$D21*OpexCapex!Y20</f>
        <v>7000</v>
      </c>
      <c r="AB21" s="101">
        <f>$D21*OpexCapex!Z20</f>
        <v>7000</v>
      </c>
      <c r="AC21" s="101">
        <f>$D21*OpexCapex!AA20</f>
        <v>7000</v>
      </c>
      <c r="AD21" s="102">
        <f>$D21*OpexCapex!AB20</f>
        <v>7000</v>
      </c>
    </row>
    <row r="22" spans="3:30" ht="15" thickBot="1" x14ac:dyDescent="0.45">
      <c r="C22" s="103" t="s">
        <v>72</v>
      </c>
      <c r="D22" s="104"/>
      <c r="E22" s="105">
        <f>E23+E25</f>
        <v>10000</v>
      </c>
      <c r="F22" s="106">
        <f>F23+F25</f>
        <v>10000</v>
      </c>
      <c r="G22" s="105">
        <f>G23+G25</f>
        <v>10000</v>
      </c>
      <c r="H22" s="105">
        <f>H23+H25</f>
        <v>10000</v>
      </c>
      <c r="I22" s="105">
        <f>I23+I25</f>
        <v>10000</v>
      </c>
      <c r="J22" s="105">
        <f>J23+J25</f>
        <v>10000</v>
      </c>
      <c r="K22" s="105">
        <f>K23+K25</f>
        <v>10000</v>
      </c>
      <c r="L22" s="106">
        <f>L23+L25</f>
        <v>10000</v>
      </c>
      <c r="M22" s="105">
        <f>M23+M25</f>
        <v>10000</v>
      </c>
      <c r="N22" s="105">
        <f>N23+N25</f>
        <v>10000</v>
      </c>
      <c r="O22" s="105">
        <f>O23+O25</f>
        <v>10000</v>
      </c>
      <c r="P22" s="105">
        <f>P23+P25</f>
        <v>10000</v>
      </c>
      <c r="Q22" s="105">
        <f>Q23+Q25</f>
        <v>10000</v>
      </c>
      <c r="R22" s="105">
        <f>R23+R25</f>
        <v>10000</v>
      </c>
      <c r="S22" s="105">
        <f>S23+S25</f>
        <v>10000</v>
      </c>
      <c r="T22" s="106">
        <f>T23+T25</f>
        <v>10000</v>
      </c>
      <c r="U22" s="105">
        <f>U23+U25</f>
        <v>20000</v>
      </c>
      <c r="V22" s="105">
        <f>V23+V25</f>
        <v>20000</v>
      </c>
      <c r="W22" s="105">
        <f>W23+W25</f>
        <v>20000</v>
      </c>
      <c r="X22" s="105">
        <f>X23+X25</f>
        <v>20000</v>
      </c>
      <c r="Y22" s="105">
        <f>Y23+Y25</f>
        <v>20000</v>
      </c>
      <c r="Z22" s="105">
        <f>Z23+Z25</f>
        <v>20000</v>
      </c>
      <c r="AA22" s="105">
        <f>AA23+AA25</f>
        <v>20000</v>
      </c>
      <c r="AB22" s="105">
        <f>AB23+AB25</f>
        <v>20000</v>
      </c>
      <c r="AC22" s="105">
        <f>AC23+AC25</f>
        <v>20000</v>
      </c>
      <c r="AD22" s="106">
        <f>AD23+AD25</f>
        <v>20000</v>
      </c>
    </row>
    <row r="23" spans="3:30" x14ac:dyDescent="0.4">
      <c r="C23" s="107" t="s">
        <v>63</v>
      </c>
      <c r="D23" s="108"/>
      <c r="E23" s="109">
        <f>SUM(E24:E24)</f>
        <v>10000</v>
      </c>
      <c r="F23" s="110">
        <f>SUM(F24:F24)</f>
        <v>10000</v>
      </c>
      <c r="G23" s="109">
        <f>SUM(G24:G24)</f>
        <v>10000</v>
      </c>
      <c r="H23" s="109">
        <f>SUM(H24:H24)</f>
        <v>10000</v>
      </c>
      <c r="I23" s="109">
        <f>SUM(I24:I24)</f>
        <v>10000</v>
      </c>
      <c r="J23" s="109">
        <f>SUM(J24:J24)</f>
        <v>10000</v>
      </c>
      <c r="K23" s="109">
        <f>SUM(K24:K24)</f>
        <v>10000</v>
      </c>
      <c r="L23" s="110">
        <f>SUM(L24:L24)</f>
        <v>10000</v>
      </c>
      <c r="M23" s="109">
        <f>SUM(M24:M24)</f>
        <v>10000</v>
      </c>
      <c r="N23" s="109">
        <f>SUM(N24:N24)</f>
        <v>10000</v>
      </c>
      <c r="O23" s="109">
        <f>SUM(O24:O24)</f>
        <v>10000</v>
      </c>
      <c r="P23" s="109">
        <f>SUM(P24:P24)</f>
        <v>10000</v>
      </c>
      <c r="Q23" s="109">
        <f>SUM(Q24:Q24)</f>
        <v>10000</v>
      </c>
      <c r="R23" s="109">
        <f>SUM(R24:R24)</f>
        <v>10000</v>
      </c>
      <c r="S23" s="109">
        <f>SUM(S24:S24)</f>
        <v>10000</v>
      </c>
      <c r="T23" s="110">
        <f>SUM(T24:T24)</f>
        <v>10000</v>
      </c>
      <c r="U23" s="109">
        <f>SUM(U24:U24)</f>
        <v>10000</v>
      </c>
      <c r="V23" s="109">
        <f>SUM(V24:V24)</f>
        <v>10000</v>
      </c>
      <c r="W23" s="109">
        <f>SUM(W24:W24)</f>
        <v>10000</v>
      </c>
      <c r="X23" s="109">
        <f>SUM(X24:X24)</f>
        <v>10000</v>
      </c>
      <c r="Y23" s="109">
        <f>SUM(Y24:Y24)</f>
        <v>10000</v>
      </c>
      <c r="Z23" s="109">
        <f>SUM(Z24:Z24)</f>
        <v>10000</v>
      </c>
      <c r="AA23" s="109">
        <f>SUM(AA24:AA24)</f>
        <v>10000</v>
      </c>
      <c r="AB23" s="109">
        <f>SUM(AB24:AB24)</f>
        <v>10000</v>
      </c>
      <c r="AC23" s="109">
        <f>SUM(AC24:AC24)</f>
        <v>10000</v>
      </c>
      <c r="AD23" s="111">
        <f>SUM(AD24:AD24)</f>
        <v>10000</v>
      </c>
    </row>
    <row r="24" spans="3:30" outlineLevel="1" x14ac:dyDescent="0.4">
      <c r="C24" s="93" t="s">
        <v>74</v>
      </c>
      <c r="D24" s="112">
        <v>10000</v>
      </c>
      <c r="E24" s="113">
        <f>$D24*OpexCapex!C23</f>
        <v>10000</v>
      </c>
      <c r="F24" s="42">
        <f>$D24*OpexCapex!D23</f>
        <v>10000</v>
      </c>
      <c r="G24" s="113">
        <f>$D24*OpexCapex!E23</f>
        <v>10000</v>
      </c>
      <c r="H24" s="113">
        <f>$D24*OpexCapex!F23</f>
        <v>10000</v>
      </c>
      <c r="I24" s="113">
        <f>$D24*OpexCapex!G23</f>
        <v>10000</v>
      </c>
      <c r="J24" s="113">
        <f>$D24*OpexCapex!H23</f>
        <v>10000</v>
      </c>
      <c r="K24" s="113">
        <f>$D24*OpexCapex!I23</f>
        <v>10000</v>
      </c>
      <c r="L24" s="42">
        <f>$D24*OpexCapex!J23</f>
        <v>10000</v>
      </c>
      <c r="M24" s="113">
        <f>$D24*OpexCapex!K23</f>
        <v>10000</v>
      </c>
      <c r="N24" s="113">
        <f>$D24*OpexCapex!L23</f>
        <v>10000</v>
      </c>
      <c r="O24" s="113">
        <f>$D24*OpexCapex!M23</f>
        <v>10000</v>
      </c>
      <c r="P24" s="113">
        <f>$D24*OpexCapex!N23</f>
        <v>10000</v>
      </c>
      <c r="Q24" s="113">
        <f>$D24*OpexCapex!O23</f>
        <v>10000</v>
      </c>
      <c r="R24" s="113">
        <f>$D24*OpexCapex!P23</f>
        <v>10000</v>
      </c>
      <c r="S24" s="113">
        <f>$D24*OpexCapex!Q23</f>
        <v>10000</v>
      </c>
      <c r="T24" s="42">
        <f>$D24*OpexCapex!R23</f>
        <v>10000</v>
      </c>
      <c r="U24" s="113">
        <f>$D24*OpexCapex!S23</f>
        <v>10000</v>
      </c>
      <c r="V24" s="113">
        <f>$D24*OpexCapex!T23</f>
        <v>10000</v>
      </c>
      <c r="W24" s="113">
        <f>$D24*OpexCapex!U23</f>
        <v>10000</v>
      </c>
      <c r="X24" s="113">
        <f>$D24*OpexCapex!V23</f>
        <v>10000</v>
      </c>
      <c r="Y24" s="113">
        <f>$D24*OpexCapex!W23</f>
        <v>10000</v>
      </c>
      <c r="Z24" s="113">
        <f>$D24*OpexCapex!X23</f>
        <v>10000</v>
      </c>
      <c r="AA24" s="113">
        <f>$D24*OpexCapex!Y23</f>
        <v>10000</v>
      </c>
      <c r="AB24" s="113">
        <f>$D24*OpexCapex!Z23</f>
        <v>10000</v>
      </c>
      <c r="AC24" s="113">
        <f>$D24*OpexCapex!AA23</f>
        <v>10000</v>
      </c>
      <c r="AD24" s="42">
        <f>$D24*OpexCapex!AB23</f>
        <v>10000</v>
      </c>
    </row>
    <row r="25" spans="3:30" x14ac:dyDescent="0.4">
      <c r="C25" s="88" t="s">
        <v>71</v>
      </c>
      <c r="D25" s="114"/>
      <c r="E25" s="97">
        <f>SUM(E26:E26)</f>
        <v>0</v>
      </c>
      <c r="F25" s="98">
        <f>SUM(F26:F26)</f>
        <v>0</v>
      </c>
      <c r="G25" s="97">
        <f>SUM(G26:G26)</f>
        <v>0</v>
      </c>
      <c r="H25" s="97">
        <f>SUM(H26:H26)</f>
        <v>0</v>
      </c>
      <c r="I25" s="97">
        <f>SUM(I26:I26)</f>
        <v>0</v>
      </c>
      <c r="J25" s="97">
        <f>SUM(J26:J26)</f>
        <v>0</v>
      </c>
      <c r="K25" s="97">
        <f>SUM(K26:K26)</f>
        <v>0</v>
      </c>
      <c r="L25" s="98">
        <f>SUM(L26:L26)</f>
        <v>0</v>
      </c>
      <c r="M25" s="97">
        <f>SUM(M26:M26)</f>
        <v>0</v>
      </c>
      <c r="N25" s="97">
        <f>SUM(N26:N26)</f>
        <v>0</v>
      </c>
      <c r="O25" s="97">
        <f>SUM(O26:O26)</f>
        <v>0</v>
      </c>
      <c r="P25" s="97">
        <f>SUM(P26:P26)</f>
        <v>0</v>
      </c>
      <c r="Q25" s="97">
        <f>SUM(Q26:Q26)</f>
        <v>0</v>
      </c>
      <c r="R25" s="97">
        <f>SUM(R26:R26)</f>
        <v>0</v>
      </c>
      <c r="S25" s="97">
        <f>SUM(S26:S26)</f>
        <v>0</v>
      </c>
      <c r="T25" s="98">
        <f>SUM(T26:T26)</f>
        <v>0</v>
      </c>
      <c r="U25" s="115">
        <f>SUM(U26:U26)</f>
        <v>10000</v>
      </c>
      <c r="V25" s="115">
        <f>SUM(V26:V26)</f>
        <v>10000</v>
      </c>
      <c r="W25" s="115">
        <f>SUM(W26:W26)</f>
        <v>10000</v>
      </c>
      <c r="X25" s="115">
        <f>SUM(X26:X26)</f>
        <v>10000</v>
      </c>
      <c r="Y25" s="115">
        <f>SUM(Y26:Y26)</f>
        <v>10000</v>
      </c>
      <c r="Z25" s="115">
        <f>SUM(Z26:Z26)</f>
        <v>10000</v>
      </c>
      <c r="AA25" s="115">
        <f>SUM(AA26:AA26)</f>
        <v>10000</v>
      </c>
      <c r="AB25" s="115">
        <f>SUM(AB26:AB26)</f>
        <v>10000</v>
      </c>
      <c r="AC25" s="115">
        <f>SUM(AC26:AC26)</f>
        <v>10000</v>
      </c>
      <c r="AD25" s="40">
        <f>SUM(AD26:AD26)</f>
        <v>10000</v>
      </c>
    </row>
    <row r="26" spans="3:30" ht="15" outlineLevel="1" thickBot="1" x14ac:dyDescent="0.45">
      <c r="C26" s="99" t="s">
        <v>74</v>
      </c>
      <c r="D26" s="116">
        <v>10000</v>
      </c>
      <c r="E26" s="74">
        <f>$D26*OpexCapex!C25</f>
        <v>0</v>
      </c>
      <c r="F26" s="73">
        <f>$D26*OpexCapex!D25</f>
        <v>0</v>
      </c>
      <c r="G26" s="74">
        <f>$D26*OpexCapex!E25</f>
        <v>0</v>
      </c>
      <c r="H26" s="74">
        <f>$D26*OpexCapex!F25</f>
        <v>0</v>
      </c>
      <c r="I26" s="74">
        <f>$D26*OpexCapex!G25</f>
        <v>0</v>
      </c>
      <c r="J26" s="74">
        <f>$D26*OpexCapex!H25</f>
        <v>0</v>
      </c>
      <c r="K26" s="74">
        <f>$D26*OpexCapex!I25</f>
        <v>0</v>
      </c>
      <c r="L26" s="73">
        <f>$D26*OpexCapex!J25</f>
        <v>0</v>
      </c>
      <c r="M26" s="74">
        <f>$D26*OpexCapex!K25</f>
        <v>0</v>
      </c>
      <c r="N26" s="74">
        <f>$D26*OpexCapex!L25</f>
        <v>0</v>
      </c>
      <c r="O26" s="74">
        <f>$D26*OpexCapex!M25</f>
        <v>0</v>
      </c>
      <c r="P26" s="74">
        <f>$D26*OpexCapex!N25</f>
        <v>0</v>
      </c>
      <c r="Q26" s="74">
        <f>$D26*OpexCapex!O25</f>
        <v>0</v>
      </c>
      <c r="R26" s="74">
        <f>$D26*OpexCapex!P25</f>
        <v>0</v>
      </c>
      <c r="S26" s="74">
        <f>$D26*OpexCapex!Q25</f>
        <v>0</v>
      </c>
      <c r="T26" s="73">
        <f>$D26*OpexCapex!R25</f>
        <v>0</v>
      </c>
      <c r="U26" s="117">
        <f>$D26*OpexCapex!S25</f>
        <v>10000</v>
      </c>
      <c r="V26" s="117">
        <f>$D26*OpexCapex!T25</f>
        <v>10000</v>
      </c>
      <c r="W26" s="117">
        <f>$D26*OpexCapex!U25</f>
        <v>10000</v>
      </c>
      <c r="X26" s="117">
        <f>$D26*OpexCapex!V25</f>
        <v>10000</v>
      </c>
      <c r="Y26" s="117">
        <f>$D26*OpexCapex!W25</f>
        <v>10000</v>
      </c>
      <c r="Z26" s="117">
        <f>$D26*OpexCapex!X25</f>
        <v>10000</v>
      </c>
      <c r="AA26" s="117">
        <f>$D26*OpexCapex!Y25</f>
        <v>10000</v>
      </c>
      <c r="AB26" s="117">
        <f>$D26*OpexCapex!Z25</f>
        <v>10000</v>
      </c>
      <c r="AC26" s="117">
        <f>$D26*OpexCapex!AA25</f>
        <v>10000</v>
      </c>
      <c r="AD26" s="44">
        <f>$D26*OpexCapex!AB25</f>
        <v>10000</v>
      </c>
    </row>
    <row r="27" spans="3:30" ht="15" thickBot="1" x14ac:dyDescent="0.45">
      <c r="C27" s="103" t="s">
        <v>83</v>
      </c>
      <c r="D27" s="118"/>
      <c r="E27" s="119">
        <f>SUM(E28,E30)</f>
        <v>10000</v>
      </c>
      <c r="F27" s="120">
        <f>SUM(F28,F30)</f>
        <v>10000</v>
      </c>
      <c r="G27" s="119">
        <f>SUM(G28,G30)</f>
        <v>10000</v>
      </c>
      <c r="H27" s="119">
        <f>SUM(H28,H30)</f>
        <v>10000</v>
      </c>
      <c r="I27" s="119">
        <f>SUM(I28,I30)</f>
        <v>10000</v>
      </c>
      <c r="J27" s="119">
        <f>SUM(J28,J30)</f>
        <v>10000</v>
      </c>
      <c r="K27" s="119">
        <f>SUM(K28,K30)</f>
        <v>10000</v>
      </c>
      <c r="L27" s="120">
        <f>SUM(L28,L30)</f>
        <v>10000</v>
      </c>
      <c r="M27" s="119">
        <f>SUM(M28,M30)</f>
        <v>10000</v>
      </c>
      <c r="N27" s="119">
        <f>SUM(N28,N30)</f>
        <v>10000</v>
      </c>
      <c r="O27" s="119">
        <f>SUM(O28,O30)</f>
        <v>10000</v>
      </c>
      <c r="P27" s="119">
        <f>SUM(P28,P30)</f>
        <v>10000</v>
      </c>
      <c r="Q27" s="119">
        <f>SUM(Q28,Q30)</f>
        <v>10000</v>
      </c>
      <c r="R27" s="119">
        <f>SUM(R28,R30)</f>
        <v>10000</v>
      </c>
      <c r="S27" s="119">
        <f>SUM(S28,S30)</f>
        <v>10000</v>
      </c>
      <c r="T27" s="120">
        <f>SUM(T28,T30)</f>
        <v>10000</v>
      </c>
      <c r="U27" s="119">
        <f>SUM(U28,U30)</f>
        <v>20000</v>
      </c>
      <c r="V27" s="119">
        <f>SUM(V28,V30)</f>
        <v>20000</v>
      </c>
      <c r="W27" s="119">
        <f>SUM(W28,W30)</f>
        <v>20000</v>
      </c>
      <c r="X27" s="119">
        <f>SUM(X28,X30)</f>
        <v>20000</v>
      </c>
      <c r="Y27" s="119">
        <f>SUM(Y28,Y30)</f>
        <v>20000</v>
      </c>
      <c r="Z27" s="119">
        <f>SUM(Z28,Z30)</f>
        <v>20000</v>
      </c>
      <c r="AA27" s="119">
        <f>SUM(AA28,AA30)</f>
        <v>20000</v>
      </c>
      <c r="AB27" s="119">
        <f>SUM(AB28,AB30)</f>
        <v>20000</v>
      </c>
      <c r="AC27" s="119">
        <f>SUM(AC28,AC30)</f>
        <v>20000</v>
      </c>
      <c r="AD27" s="120">
        <f>SUM(AD28,AD30)</f>
        <v>20000</v>
      </c>
    </row>
    <row r="28" spans="3:30" x14ac:dyDescent="0.4">
      <c r="C28" s="107" t="s">
        <v>63</v>
      </c>
      <c r="D28" s="121"/>
      <c r="E28" s="122">
        <f>SUM(E29:E29)</f>
        <v>10000</v>
      </c>
      <c r="F28" s="123">
        <f>SUM(F29:F29)</f>
        <v>10000</v>
      </c>
      <c r="G28" s="122">
        <f>SUM(G29:G29)</f>
        <v>10000</v>
      </c>
      <c r="H28" s="122">
        <f>SUM(H29:H29)</f>
        <v>10000</v>
      </c>
      <c r="I28" s="122">
        <f>SUM(I29:I29)</f>
        <v>10000</v>
      </c>
      <c r="J28" s="122">
        <f>SUM(J29:J29)</f>
        <v>10000</v>
      </c>
      <c r="K28" s="122">
        <f>SUM(K29:K29)</f>
        <v>10000</v>
      </c>
      <c r="L28" s="123">
        <f>SUM(L29:L29)</f>
        <v>10000</v>
      </c>
      <c r="M28" s="122">
        <f>SUM(M29:M29)</f>
        <v>10000</v>
      </c>
      <c r="N28" s="122">
        <f>SUM(N29:N29)</f>
        <v>10000</v>
      </c>
      <c r="O28" s="122">
        <f>SUM(O29:O29)</f>
        <v>10000</v>
      </c>
      <c r="P28" s="122">
        <f>SUM(P29:P29)</f>
        <v>10000</v>
      </c>
      <c r="Q28" s="122">
        <f>SUM(Q29:Q29)</f>
        <v>10000</v>
      </c>
      <c r="R28" s="122">
        <f>SUM(R29:R29)</f>
        <v>10000</v>
      </c>
      <c r="S28" s="122">
        <f>SUM(S29:S29)</f>
        <v>10000</v>
      </c>
      <c r="T28" s="123">
        <f>SUM(T29:T29)</f>
        <v>10000</v>
      </c>
      <c r="U28" s="122">
        <f>SUM(U29:U29)</f>
        <v>10000</v>
      </c>
      <c r="V28" s="122">
        <f>SUM(V29:V29)</f>
        <v>10000</v>
      </c>
      <c r="W28" s="122">
        <f>SUM(W29:W29)</f>
        <v>10000</v>
      </c>
      <c r="X28" s="122">
        <f>SUM(X29:X29)</f>
        <v>10000</v>
      </c>
      <c r="Y28" s="122">
        <f>SUM(Y29:Y29)</f>
        <v>10000</v>
      </c>
      <c r="Z28" s="122">
        <f>SUM(Z29:Z29)</f>
        <v>10000</v>
      </c>
      <c r="AA28" s="122">
        <f>SUM(AA29:AA29)</f>
        <v>10000</v>
      </c>
      <c r="AB28" s="122">
        <f>SUM(AB29:AB29)</f>
        <v>10000</v>
      </c>
      <c r="AC28" s="122">
        <f>SUM(AC29:AC29)</f>
        <v>10000</v>
      </c>
      <c r="AD28" s="124">
        <f>SUM(AD29:AD29)</f>
        <v>10000</v>
      </c>
    </row>
    <row r="29" spans="3:30" outlineLevel="1" x14ac:dyDescent="0.4">
      <c r="C29" s="93" t="s">
        <v>75</v>
      </c>
      <c r="D29" s="112">
        <v>10000</v>
      </c>
      <c r="E29" s="113">
        <f>$D29*OpexCapex!C28</f>
        <v>10000</v>
      </c>
      <c r="F29" s="42">
        <f>$D29*OpexCapex!D28</f>
        <v>10000</v>
      </c>
      <c r="G29" s="113">
        <f>$D29*OpexCapex!E28</f>
        <v>10000</v>
      </c>
      <c r="H29" s="113">
        <f>$D29*OpexCapex!F28</f>
        <v>10000</v>
      </c>
      <c r="I29" s="113">
        <f>$D29*OpexCapex!G28</f>
        <v>10000</v>
      </c>
      <c r="J29" s="113">
        <f>$D29*OpexCapex!H28</f>
        <v>10000</v>
      </c>
      <c r="K29" s="113">
        <f>$D29*OpexCapex!I28</f>
        <v>10000</v>
      </c>
      <c r="L29" s="42">
        <f>$D29*OpexCapex!J28</f>
        <v>10000</v>
      </c>
      <c r="M29" s="113">
        <f>$D29*OpexCapex!K28</f>
        <v>10000</v>
      </c>
      <c r="N29" s="113">
        <f>$D29*OpexCapex!L28</f>
        <v>10000</v>
      </c>
      <c r="O29" s="113">
        <f>$D29*OpexCapex!M28</f>
        <v>10000</v>
      </c>
      <c r="P29" s="113">
        <f>$D29*OpexCapex!N28</f>
        <v>10000</v>
      </c>
      <c r="Q29" s="113">
        <f>$D29*OpexCapex!O28</f>
        <v>10000</v>
      </c>
      <c r="R29" s="113">
        <f>$D29*OpexCapex!P28</f>
        <v>10000</v>
      </c>
      <c r="S29" s="113">
        <f>$D29*OpexCapex!Q28</f>
        <v>10000</v>
      </c>
      <c r="T29" s="42">
        <f>$D29*OpexCapex!R28</f>
        <v>10000</v>
      </c>
      <c r="U29" s="113">
        <f>$D29*OpexCapex!S28</f>
        <v>10000</v>
      </c>
      <c r="V29" s="113">
        <f>$D29*OpexCapex!T28</f>
        <v>10000</v>
      </c>
      <c r="W29" s="113">
        <f>$D29*OpexCapex!U28</f>
        <v>10000</v>
      </c>
      <c r="X29" s="113">
        <f>$D29*OpexCapex!V28</f>
        <v>10000</v>
      </c>
      <c r="Y29" s="113">
        <f>$D29*OpexCapex!W28</f>
        <v>10000</v>
      </c>
      <c r="Z29" s="113">
        <f>$D29*OpexCapex!X28</f>
        <v>10000</v>
      </c>
      <c r="AA29" s="113">
        <f>$D29*OpexCapex!Y28</f>
        <v>10000</v>
      </c>
      <c r="AB29" s="113">
        <f>$D29*OpexCapex!Z28</f>
        <v>10000</v>
      </c>
      <c r="AC29" s="113">
        <f>$D29*OpexCapex!AA28</f>
        <v>10000</v>
      </c>
      <c r="AD29" s="42">
        <f>$D29*OpexCapex!AB28</f>
        <v>10000</v>
      </c>
    </row>
    <row r="30" spans="3:30" x14ac:dyDescent="0.4">
      <c r="C30" s="88" t="s">
        <v>71</v>
      </c>
      <c r="D30" s="89"/>
      <c r="E30" s="97">
        <f>SUM(E31:E31)</f>
        <v>0</v>
      </c>
      <c r="F30" s="98">
        <f>SUM(F31:F31)</f>
        <v>0</v>
      </c>
      <c r="G30" s="97">
        <f>SUM(G31:G31)</f>
        <v>0</v>
      </c>
      <c r="H30" s="97">
        <f>SUM(H31:H31)</f>
        <v>0</v>
      </c>
      <c r="I30" s="97">
        <f>SUM(I31:I31)</f>
        <v>0</v>
      </c>
      <c r="J30" s="97">
        <f>SUM(J31:J31)</f>
        <v>0</v>
      </c>
      <c r="K30" s="97">
        <f>SUM(K31:K31)</f>
        <v>0</v>
      </c>
      <c r="L30" s="98">
        <f>SUM(L31:L31)</f>
        <v>0</v>
      </c>
      <c r="M30" s="97">
        <f>SUM(M31:M31)</f>
        <v>0</v>
      </c>
      <c r="N30" s="97">
        <f>SUM(N31:N31)</f>
        <v>0</v>
      </c>
      <c r="O30" s="97">
        <f>SUM(O31:O31)</f>
        <v>0</v>
      </c>
      <c r="P30" s="97">
        <f>SUM(P31:P31)</f>
        <v>0</v>
      </c>
      <c r="Q30" s="97">
        <f>SUM(Q31:Q31)</f>
        <v>0</v>
      </c>
      <c r="R30" s="97">
        <f>SUM(R31:R31)</f>
        <v>0</v>
      </c>
      <c r="S30" s="97">
        <f>SUM(S31:S31)</f>
        <v>0</v>
      </c>
      <c r="T30" s="98">
        <f>SUM(T31:T31)</f>
        <v>0</v>
      </c>
      <c r="U30" s="125">
        <f>SUM(U31:U31)</f>
        <v>10000</v>
      </c>
      <c r="V30" s="125">
        <f>SUM(V31:V31)</f>
        <v>10000</v>
      </c>
      <c r="W30" s="125">
        <f>SUM(W31:W31)</f>
        <v>10000</v>
      </c>
      <c r="X30" s="125">
        <f>SUM(X31:X31)</f>
        <v>10000</v>
      </c>
      <c r="Y30" s="125">
        <f>SUM(Y31:Y31)</f>
        <v>10000</v>
      </c>
      <c r="Z30" s="125">
        <f>SUM(Z31:Z31)</f>
        <v>10000</v>
      </c>
      <c r="AA30" s="125">
        <f>SUM(AA31:AA31)</f>
        <v>10000</v>
      </c>
      <c r="AB30" s="125">
        <f>SUM(AB31:AB31)</f>
        <v>10000</v>
      </c>
      <c r="AC30" s="125">
        <f>SUM(AC31:AC31)</f>
        <v>10000</v>
      </c>
      <c r="AD30" s="43">
        <f>SUM(AD31:AD31)</f>
        <v>10000</v>
      </c>
    </row>
    <row r="31" spans="3:30" outlineLevel="1" x14ac:dyDescent="0.4">
      <c r="C31" s="93" t="s">
        <v>75</v>
      </c>
      <c r="D31" s="112">
        <v>10000</v>
      </c>
      <c r="E31" s="68">
        <f>$D31*OpexCapex!C30</f>
        <v>0</v>
      </c>
      <c r="F31" s="63">
        <f>$D31*OpexCapex!D30</f>
        <v>0</v>
      </c>
      <c r="G31" s="68">
        <f>$D31*OpexCapex!E30</f>
        <v>0</v>
      </c>
      <c r="H31" s="68">
        <f>$D31*OpexCapex!F30</f>
        <v>0</v>
      </c>
      <c r="I31" s="68">
        <f>$D31*OpexCapex!G30</f>
        <v>0</v>
      </c>
      <c r="J31" s="68">
        <f>$D31*OpexCapex!H30</f>
        <v>0</v>
      </c>
      <c r="K31" s="68">
        <f>$D31*OpexCapex!I30</f>
        <v>0</v>
      </c>
      <c r="L31" s="63">
        <f>$D31*OpexCapex!J30</f>
        <v>0</v>
      </c>
      <c r="M31" s="68">
        <f>$D31*OpexCapex!K30</f>
        <v>0</v>
      </c>
      <c r="N31" s="68">
        <f>$D31*OpexCapex!L30</f>
        <v>0</v>
      </c>
      <c r="O31" s="68">
        <f>$D31*OpexCapex!M30</f>
        <v>0</v>
      </c>
      <c r="P31" s="68">
        <f>$D31*OpexCapex!N30</f>
        <v>0</v>
      </c>
      <c r="Q31" s="68">
        <f>$D31*OpexCapex!O30</f>
        <v>0</v>
      </c>
      <c r="R31" s="68">
        <f>$D31*OpexCapex!P30</f>
        <v>0</v>
      </c>
      <c r="S31" s="68">
        <f>$D31*OpexCapex!Q30</f>
        <v>0</v>
      </c>
      <c r="T31" s="63">
        <f>$D31*OpexCapex!R30</f>
        <v>0</v>
      </c>
      <c r="U31" s="113">
        <f>$D31*OpexCapex!S30</f>
        <v>10000</v>
      </c>
      <c r="V31" s="113">
        <f>$D31*OpexCapex!T30</f>
        <v>10000</v>
      </c>
      <c r="W31" s="113">
        <f>$D31*OpexCapex!U30</f>
        <v>10000</v>
      </c>
      <c r="X31" s="113">
        <f>$D31*OpexCapex!V30</f>
        <v>10000</v>
      </c>
      <c r="Y31" s="113">
        <f>$D31*OpexCapex!W30</f>
        <v>10000</v>
      </c>
      <c r="Z31" s="113">
        <f>$D31*OpexCapex!X30</f>
        <v>10000</v>
      </c>
      <c r="AA31" s="113">
        <f>$D31*OpexCapex!Y30</f>
        <v>10000</v>
      </c>
      <c r="AB31" s="113">
        <f>$D31*OpexCapex!Z30</f>
        <v>10000</v>
      </c>
      <c r="AC31" s="113">
        <f>$D31*OpexCapex!AA30</f>
        <v>10000</v>
      </c>
      <c r="AD31" s="42">
        <f>$D31*OpexCapex!AB30</f>
        <v>10000</v>
      </c>
    </row>
  </sheetData>
  <mergeCells count="4">
    <mergeCell ref="E2:F2"/>
    <mergeCell ref="G2:L2"/>
    <mergeCell ref="M2:T2"/>
    <mergeCell ref="U2:AD2"/>
  </mergeCells>
  <pageMargins left="0.70866141732283472" right="0.70866141732283472" top="0.74803149606299213" bottom="0.74803149606299213" header="0.31496062992125984" footer="0.31496062992125984"/>
  <pageSetup paperSize="8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2B32-888E-44EA-91FE-CB1E7BE12780}">
  <sheetPr>
    <pageSetUpPr fitToPage="1"/>
  </sheetPr>
  <dimension ref="C1:P35"/>
  <sheetViews>
    <sheetView showGridLines="0" zoomScaleNormal="100" workbookViewId="0">
      <pane xSplit="3" ySplit="3" topLeftCell="D4" activePane="bottomRight" state="frozen"/>
      <selection activeCell="F16" sqref="F16"/>
      <selection pane="topRight" activeCell="F16" sqref="F16"/>
      <selection pane="bottomLeft" activeCell="F16" sqref="F16"/>
      <selection pane="bottomRight" activeCell="G9" sqref="G9"/>
    </sheetView>
  </sheetViews>
  <sheetFormatPr defaultRowHeight="14.6" outlineLevelRow="1" x14ac:dyDescent="0.4"/>
  <cols>
    <col min="1" max="2" width="0" hidden="1" customWidth="1"/>
    <col min="3" max="3" width="37" bestFit="1" customWidth="1"/>
    <col min="4" max="6" width="6.765625" style="61" bestFit="1" customWidth="1"/>
    <col min="7" max="7" width="7.07421875" style="61" bestFit="1" customWidth="1"/>
    <col min="8" max="9" width="7.53515625" style="61" bestFit="1" customWidth="1"/>
    <col min="10" max="10" width="8.07421875" style="61" bestFit="1" customWidth="1"/>
    <col min="11" max="14" width="6.765625" style="61" bestFit="1" customWidth="1"/>
    <col min="15" max="15" width="6.4609375" style="61" bestFit="1" customWidth="1"/>
    <col min="16" max="16" width="6.765625" style="61" bestFit="1" customWidth="1"/>
  </cols>
  <sheetData>
    <row r="1" spans="3:16" ht="15" hidden="1" thickBot="1" x14ac:dyDescent="0.45"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3:16" s="165" customFormat="1" ht="15" thickBot="1" x14ac:dyDescent="0.45">
      <c r="C2" s="165" t="s">
        <v>87</v>
      </c>
      <c r="D2" s="167" t="s">
        <v>88</v>
      </c>
      <c r="E2" s="169"/>
      <c r="F2" s="169"/>
      <c r="G2" s="169"/>
      <c r="H2" s="169"/>
      <c r="I2" s="169"/>
      <c r="J2" s="169"/>
      <c r="K2" s="167" t="s">
        <v>89</v>
      </c>
      <c r="L2" s="169"/>
      <c r="M2" s="169"/>
      <c r="N2" s="169"/>
      <c r="O2" s="169"/>
      <c r="P2" s="168"/>
    </row>
    <row r="3" spans="3:16" ht="15" thickBot="1" x14ac:dyDescent="0.45">
      <c r="C3" s="126" t="s">
        <v>56</v>
      </c>
      <c r="D3" s="127">
        <v>2026</v>
      </c>
      <c r="E3" s="128">
        <v>2027</v>
      </c>
      <c r="F3" s="128">
        <v>2028</v>
      </c>
      <c r="G3" s="128">
        <v>2029</v>
      </c>
      <c r="H3" s="128">
        <v>3030</v>
      </c>
      <c r="I3" s="128">
        <v>3031</v>
      </c>
      <c r="J3" s="129">
        <v>3032</v>
      </c>
      <c r="K3" s="130">
        <v>2027</v>
      </c>
      <c r="L3" s="128">
        <v>2028</v>
      </c>
      <c r="M3" s="128">
        <v>2029</v>
      </c>
      <c r="N3" s="128">
        <v>3030</v>
      </c>
      <c r="O3" s="128">
        <v>3031</v>
      </c>
      <c r="P3" s="131">
        <v>3032</v>
      </c>
    </row>
    <row r="4" spans="3:16" ht="15" thickBot="1" x14ac:dyDescent="0.45">
      <c r="C4" s="132" t="s">
        <v>61</v>
      </c>
      <c r="D4" s="133">
        <f>SUM(Quarterly!E4:I4)</f>
        <v>290500</v>
      </c>
      <c r="E4" s="133">
        <f>SUM(Quarterly!J4:M4)</f>
        <v>302500</v>
      </c>
      <c r="F4" s="133">
        <f>SUM(Quarterly!N4:Q4)</f>
        <v>370000</v>
      </c>
      <c r="G4" s="133">
        <f>SUM(Quarterly!R4:U4)</f>
        <v>545500</v>
      </c>
      <c r="H4" s="133">
        <f>SUM(Quarterly!V4:Y4)</f>
        <v>1072000</v>
      </c>
      <c r="I4" s="133">
        <f>SUM(Quarterly!Z4:AC4)</f>
        <v>1072000</v>
      </c>
      <c r="J4" s="133">
        <f>Quarterly!AD4*4</f>
        <v>1072000</v>
      </c>
      <c r="K4" s="134">
        <f>IFERROR(E4/D4-1,0)</f>
        <v>4.1308089500860623E-2</v>
      </c>
      <c r="L4" s="135">
        <f t="shared" ref="L4:P35" si="0">IFERROR(F4/E4-1,0)</f>
        <v>0.22314049586776852</v>
      </c>
      <c r="M4" s="135">
        <f t="shared" si="0"/>
        <v>0.47432432432432425</v>
      </c>
      <c r="N4" s="135">
        <f t="shared" si="0"/>
        <v>0.96516956920256636</v>
      </c>
      <c r="O4" s="135">
        <f t="shared" si="0"/>
        <v>0</v>
      </c>
      <c r="P4" s="136">
        <f t="shared" si="0"/>
        <v>0</v>
      </c>
    </row>
    <row r="5" spans="3:16" x14ac:dyDescent="0.4">
      <c r="C5" s="137" t="s">
        <v>62</v>
      </c>
      <c r="D5" s="138">
        <f>SUM(Quarterly!E5:I5)</f>
        <v>190500</v>
      </c>
      <c r="E5" s="138">
        <f>SUM(Quarterly!J5:M5)</f>
        <v>222500</v>
      </c>
      <c r="F5" s="138">
        <f>SUM(Quarterly!N5:Q5)</f>
        <v>290000</v>
      </c>
      <c r="G5" s="138">
        <f>SUM(Quarterly!R5:U5)</f>
        <v>445500</v>
      </c>
      <c r="H5" s="138">
        <f>SUM(Quarterly!V5:Y5)</f>
        <v>912000</v>
      </c>
      <c r="I5" s="138">
        <f>SUM(Quarterly!Z5:AC5)</f>
        <v>912000</v>
      </c>
      <c r="J5" s="138">
        <f>Quarterly!AD5*4</f>
        <v>912000</v>
      </c>
      <c r="K5" s="139">
        <f t="shared" ref="K5:K35" si="1">IFERROR(E5/D5-1,0)</f>
        <v>0.16797900262467191</v>
      </c>
      <c r="L5" s="140">
        <f t="shared" si="0"/>
        <v>0.30337078651685401</v>
      </c>
      <c r="M5" s="140">
        <f t="shared" si="0"/>
        <v>0.53620689655172415</v>
      </c>
      <c r="N5" s="140">
        <f t="shared" si="0"/>
        <v>1.0471380471380471</v>
      </c>
      <c r="O5" s="140">
        <f t="shared" si="0"/>
        <v>0</v>
      </c>
      <c r="P5" s="141">
        <f t="shared" si="0"/>
        <v>0</v>
      </c>
    </row>
    <row r="6" spans="3:16" x14ac:dyDescent="0.4">
      <c r="C6" s="88" t="s">
        <v>63</v>
      </c>
      <c r="D6" s="142">
        <f>SUM(Quarterly!E6:I6)</f>
        <v>190500</v>
      </c>
      <c r="E6" s="142">
        <f>SUM(Quarterly!J6:M6)</f>
        <v>222500</v>
      </c>
      <c r="F6" s="142">
        <f>SUM(Quarterly!N6:Q6)</f>
        <v>290000</v>
      </c>
      <c r="G6" s="142">
        <f>SUM(Quarterly!R6:U6)</f>
        <v>331500</v>
      </c>
      <c r="H6" s="142">
        <f>SUM(Quarterly!V6:Y6)</f>
        <v>456000</v>
      </c>
      <c r="I6" s="142">
        <f>SUM(Quarterly!Z6:AC6)</f>
        <v>456000</v>
      </c>
      <c r="J6" s="142">
        <f>Quarterly!AD6*4</f>
        <v>456000</v>
      </c>
      <c r="K6" s="143">
        <f t="shared" si="1"/>
        <v>0.16797900262467191</v>
      </c>
      <c r="L6" s="144">
        <f t="shared" si="0"/>
        <v>0.30337078651685401</v>
      </c>
      <c r="M6" s="144">
        <f t="shared" si="0"/>
        <v>0.14310344827586197</v>
      </c>
      <c r="N6" s="144">
        <f t="shared" si="0"/>
        <v>0.3755656108597285</v>
      </c>
      <c r="O6" s="144">
        <f t="shared" si="0"/>
        <v>0</v>
      </c>
      <c r="P6" s="145">
        <f t="shared" si="0"/>
        <v>0</v>
      </c>
    </row>
    <row r="7" spans="3:16" outlineLevel="1" x14ac:dyDescent="0.4">
      <c r="C7" s="93" t="s">
        <v>64</v>
      </c>
      <c r="D7" s="146">
        <f>SUM(Quarterly!E7:I7)</f>
        <v>50000</v>
      </c>
      <c r="E7" s="146">
        <f>SUM(Quarterly!J7:M7)</f>
        <v>50000</v>
      </c>
      <c r="F7" s="146">
        <f>SUM(Quarterly!N7:Q7)</f>
        <v>80000</v>
      </c>
      <c r="G7" s="146">
        <f>SUM(Quarterly!R7:U7)</f>
        <v>100000</v>
      </c>
      <c r="H7" s="146">
        <f>SUM(Quarterly!V7:Y7)</f>
        <v>160000</v>
      </c>
      <c r="I7" s="146">
        <f>SUM(Quarterly!Z7:AC7)</f>
        <v>160000</v>
      </c>
      <c r="J7" s="146">
        <f>Quarterly!AD7*4</f>
        <v>160000</v>
      </c>
      <c r="K7" s="147">
        <f t="shared" si="1"/>
        <v>0</v>
      </c>
      <c r="L7" s="148">
        <f t="shared" si="0"/>
        <v>0.60000000000000009</v>
      </c>
      <c r="M7" s="148">
        <f t="shared" si="0"/>
        <v>0.25</v>
      </c>
      <c r="N7" s="148">
        <f t="shared" si="0"/>
        <v>0.60000000000000009</v>
      </c>
      <c r="O7" s="148">
        <f t="shared" si="0"/>
        <v>0</v>
      </c>
      <c r="P7" s="149">
        <f t="shared" si="0"/>
        <v>0</v>
      </c>
    </row>
    <row r="8" spans="3:16" outlineLevel="1" x14ac:dyDescent="0.4">
      <c r="C8" s="93" t="s">
        <v>65</v>
      </c>
      <c r="D8" s="146">
        <f>SUM(Quarterly!E8:I8)</f>
        <v>65000</v>
      </c>
      <c r="E8" s="146">
        <f>SUM(Quarterly!J8:M8)</f>
        <v>65000</v>
      </c>
      <c r="F8" s="146">
        <f>SUM(Quarterly!N8:Q8)</f>
        <v>80000</v>
      </c>
      <c r="G8" s="146">
        <f>SUM(Quarterly!R8:U8)</f>
        <v>80000</v>
      </c>
      <c r="H8" s="146">
        <f>SUM(Quarterly!V8:Y8)</f>
        <v>80000</v>
      </c>
      <c r="I8" s="146">
        <f>SUM(Quarterly!Z8:AC8)</f>
        <v>80000</v>
      </c>
      <c r="J8" s="146">
        <f>Quarterly!AD8*4</f>
        <v>80000</v>
      </c>
      <c r="K8" s="147">
        <f t="shared" si="1"/>
        <v>0</v>
      </c>
      <c r="L8" s="148">
        <f t="shared" si="0"/>
        <v>0.23076923076923084</v>
      </c>
      <c r="M8" s="148">
        <f t="shared" si="0"/>
        <v>0</v>
      </c>
      <c r="N8" s="148">
        <f t="shared" si="0"/>
        <v>0</v>
      </c>
      <c r="O8" s="148">
        <f t="shared" si="0"/>
        <v>0</v>
      </c>
      <c r="P8" s="149">
        <f t="shared" si="0"/>
        <v>0</v>
      </c>
    </row>
    <row r="9" spans="3:16" outlineLevel="1" x14ac:dyDescent="0.4">
      <c r="C9" s="93" t="s">
        <v>66</v>
      </c>
      <c r="D9" s="150">
        <f>SUM(Quarterly!E9:I9)</f>
        <v>18000</v>
      </c>
      <c r="E9" s="146">
        <f>SUM(Quarterly!J9:M9)</f>
        <v>24000</v>
      </c>
      <c r="F9" s="146">
        <f>SUM(Quarterly!N9:Q9)</f>
        <v>24000</v>
      </c>
      <c r="G9" s="146">
        <f>SUM(Quarterly!R9:U9)</f>
        <v>24000</v>
      </c>
      <c r="H9" s="146">
        <f>SUM(Quarterly!V9:Y9)</f>
        <v>24000</v>
      </c>
      <c r="I9" s="146">
        <f>SUM(Quarterly!Z9:AC9)</f>
        <v>24000</v>
      </c>
      <c r="J9" s="146">
        <f>Quarterly!AD9*4</f>
        <v>24000</v>
      </c>
      <c r="K9" s="147">
        <f t="shared" si="1"/>
        <v>0.33333333333333326</v>
      </c>
      <c r="L9" s="148">
        <f t="shared" si="0"/>
        <v>0</v>
      </c>
      <c r="M9" s="148">
        <f t="shared" si="0"/>
        <v>0</v>
      </c>
      <c r="N9" s="148">
        <f t="shared" si="0"/>
        <v>0</v>
      </c>
      <c r="O9" s="148">
        <f t="shared" si="0"/>
        <v>0</v>
      </c>
      <c r="P9" s="149">
        <f t="shared" si="0"/>
        <v>0</v>
      </c>
    </row>
    <row r="10" spans="3:16" outlineLevel="1" x14ac:dyDescent="0.4">
      <c r="C10" s="93" t="s">
        <v>67</v>
      </c>
      <c r="D10" s="150">
        <f>SUM(Quarterly!E10:I10)</f>
        <v>9000</v>
      </c>
      <c r="E10" s="146">
        <f>SUM(Quarterly!J10:M10)</f>
        <v>12000</v>
      </c>
      <c r="F10" s="146">
        <f>SUM(Quarterly!N10:Q10)</f>
        <v>12000</v>
      </c>
      <c r="G10" s="146">
        <f>SUM(Quarterly!R10:U10)</f>
        <v>15000</v>
      </c>
      <c r="H10" s="146">
        <f>SUM(Quarterly!V10:Y10)</f>
        <v>24000</v>
      </c>
      <c r="I10" s="146">
        <f>SUM(Quarterly!Z10:AC10)</f>
        <v>24000</v>
      </c>
      <c r="J10" s="146">
        <f>Quarterly!AD10*4</f>
        <v>24000</v>
      </c>
      <c r="K10" s="147">
        <f t="shared" si="1"/>
        <v>0.33333333333333326</v>
      </c>
      <c r="L10" s="148">
        <f t="shared" si="0"/>
        <v>0</v>
      </c>
      <c r="M10" s="148">
        <f t="shared" si="0"/>
        <v>0.25</v>
      </c>
      <c r="N10" s="148">
        <f t="shared" si="0"/>
        <v>0.60000000000000009</v>
      </c>
      <c r="O10" s="148">
        <f t="shared" si="0"/>
        <v>0</v>
      </c>
      <c r="P10" s="149">
        <f t="shared" si="0"/>
        <v>0</v>
      </c>
    </row>
    <row r="11" spans="3:16" outlineLevel="1" x14ac:dyDescent="0.4">
      <c r="C11" s="93" t="s">
        <v>68</v>
      </c>
      <c r="D11" s="146">
        <f>SUM(Quarterly!E11:I11)</f>
        <v>35000</v>
      </c>
      <c r="E11" s="146">
        <f>SUM(Quarterly!J11:M11)</f>
        <v>45000</v>
      </c>
      <c r="F11" s="146">
        <f>SUM(Quarterly!N11:Q11)</f>
        <v>60000</v>
      </c>
      <c r="G11" s="146">
        <f>SUM(Quarterly!R11:U11)</f>
        <v>70000</v>
      </c>
      <c r="H11" s="146">
        <f>SUM(Quarterly!V11:Y11)</f>
        <v>100000</v>
      </c>
      <c r="I11" s="146">
        <f>SUM(Quarterly!Z11:AC11)</f>
        <v>100000</v>
      </c>
      <c r="J11" s="146">
        <f>Quarterly!AD11*4</f>
        <v>100000</v>
      </c>
      <c r="K11" s="147">
        <f t="shared" si="1"/>
        <v>0.28571428571428581</v>
      </c>
      <c r="L11" s="148">
        <f t="shared" si="0"/>
        <v>0.33333333333333326</v>
      </c>
      <c r="M11" s="148">
        <f t="shared" si="0"/>
        <v>0.16666666666666674</v>
      </c>
      <c r="N11" s="148">
        <f t="shared" si="0"/>
        <v>0.4285714285714286</v>
      </c>
      <c r="O11" s="148">
        <f t="shared" si="0"/>
        <v>0</v>
      </c>
      <c r="P11" s="149">
        <f t="shared" si="0"/>
        <v>0</v>
      </c>
    </row>
    <row r="12" spans="3:16" outlineLevel="1" x14ac:dyDescent="0.4">
      <c r="C12" s="93" t="s">
        <v>69</v>
      </c>
      <c r="D12" s="146">
        <f>SUM(Quarterly!E12:I12)</f>
        <v>10000</v>
      </c>
      <c r="E12" s="146">
        <f>SUM(Quarterly!J12:M12)</f>
        <v>12500</v>
      </c>
      <c r="F12" s="146">
        <f>SUM(Quarterly!N12:Q12)</f>
        <v>20000</v>
      </c>
      <c r="G12" s="146">
        <f>SUM(Quarterly!R12:U12)</f>
        <v>25000</v>
      </c>
      <c r="H12" s="146">
        <f>SUM(Quarterly!V12:Y12)</f>
        <v>40000</v>
      </c>
      <c r="I12" s="146">
        <f>SUM(Quarterly!Z12:AC12)</f>
        <v>40000</v>
      </c>
      <c r="J12" s="146">
        <f>Quarterly!AD12*4</f>
        <v>40000</v>
      </c>
      <c r="K12" s="147">
        <f t="shared" si="1"/>
        <v>0.25</v>
      </c>
      <c r="L12" s="148">
        <f t="shared" si="0"/>
        <v>0.60000000000000009</v>
      </c>
      <c r="M12" s="148">
        <f t="shared" si="0"/>
        <v>0.25</v>
      </c>
      <c r="N12" s="148">
        <f t="shared" si="0"/>
        <v>0.60000000000000009</v>
      </c>
      <c r="O12" s="148">
        <f t="shared" si="0"/>
        <v>0</v>
      </c>
      <c r="P12" s="149">
        <f t="shared" si="0"/>
        <v>0</v>
      </c>
    </row>
    <row r="13" spans="3:16" outlineLevel="1" x14ac:dyDescent="0.4">
      <c r="C13" s="93" t="s">
        <v>70</v>
      </c>
      <c r="D13" s="150">
        <f>SUM(Quarterly!E13:I13)</f>
        <v>3500</v>
      </c>
      <c r="E13" s="150">
        <f>SUM(Quarterly!J13:M13)</f>
        <v>14000</v>
      </c>
      <c r="F13" s="150">
        <f>SUM(Quarterly!N13:Q13)</f>
        <v>14000</v>
      </c>
      <c r="G13" s="146">
        <f>SUM(Quarterly!R13:U13)</f>
        <v>17500</v>
      </c>
      <c r="H13" s="146">
        <f>SUM(Quarterly!V13:Y13)</f>
        <v>28000</v>
      </c>
      <c r="I13" s="146">
        <f>SUM(Quarterly!Z13:AC13)</f>
        <v>28000</v>
      </c>
      <c r="J13" s="146">
        <f>Quarterly!AD13*4</f>
        <v>28000</v>
      </c>
      <c r="K13" s="147">
        <f t="shared" si="1"/>
        <v>3</v>
      </c>
      <c r="L13" s="148">
        <f t="shared" si="0"/>
        <v>0</v>
      </c>
      <c r="M13" s="148">
        <f t="shared" si="0"/>
        <v>0.25</v>
      </c>
      <c r="N13" s="148">
        <f t="shared" si="0"/>
        <v>0.60000000000000009</v>
      </c>
      <c r="O13" s="148">
        <f t="shared" si="0"/>
        <v>0</v>
      </c>
      <c r="P13" s="149">
        <f t="shared" si="0"/>
        <v>0</v>
      </c>
    </row>
    <row r="14" spans="3:16" x14ac:dyDescent="0.4">
      <c r="C14" s="88" t="s">
        <v>71</v>
      </c>
      <c r="D14" s="151">
        <f>SUM(Quarterly!E14:I14)</f>
        <v>0</v>
      </c>
      <c r="E14" s="151">
        <f>SUM(Quarterly!J14:M14)</f>
        <v>0</v>
      </c>
      <c r="F14" s="151">
        <f>SUM(Quarterly!N14:Q14)</f>
        <v>0</v>
      </c>
      <c r="G14" s="151">
        <f>SUM(Quarterly!R14:U14)</f>
        <v>114000</v>
      </c>
      <c r="H14" s="151">
        <f>SUM(Quarterly!V14:Y14)</f>
        <v>456000</v>
      </c>
      <c r="I14" s="151">
        <f>SUM(Quarterly!Z14:AC14)</f>
        <v>456000</v>
      </c>
      <c r="J14" s="151">
        <f>Quarterly!AD14*4</f>
        <v>456000</v>
      </c>
      <c r="K14" s="143">
        <f t="shared" si="1"/>
        <v>0</v>
      </c>
      <c r="L14" s="144">
        <f t="shared" si="0"/>
        <v>0</v>
      </c>
      <c r="M14" s="144">
        <f t="shared" si="0"/>
        <v>0</v>
      </c>
      <c r="N14" s="144">
        <f t="shared" si="0"/>
        <v>3</v>
      </c>
      <c r="O14" s="144">
        <f t="shared" si="0"/>
        <v>0</v>
      </c>
      <c r="P14" s="145">
        <f t="shared" si="0"/>
        <v>0</v>
      </c>
    </row>
    <row r="15" spans="3:16" outlineLevel="1" x14ac:dyDescent="0.4">
      <c r="C15" s="93" t="s">
        <v>64</v>
      </c>
      <c r="D15" s="150">
        <f>SUM(Quarterly!E15:I15)</f>
        <v>0</v>
      </c>
      <c r="E15" s="150">
        <f>SUM(Quarterly!J15:M15)</f>
        <v>0</v>
      </c>
      <c r="F15" s="150">
        <f>SUM(Quarterly!N15:Q15)</f>
        <v>0</v>
      </c>
      <c r="G15" s="150">
        <f>SUM(Quarterly!R15:U15)</f>
        <v>40000</v>
      </c>
      <c r="H15" s="150">
        <f>SUM(Quarterly!V15:Y15)</f>
        <v>160000</v>
      </c>
      <c r="I15" s="150">
        <f>SUM(Quarterly!Z15:AC15)</f>
        <v>160000</v>
      </c>
      <c r="J15" s="150">
        <f>Quarterly!AD15*4</f>
        <v>160000</v>
      </c>
      <c r="K15" s="147">
        <f t="shared" si="1"/>
        <v>0</v>
      </c>
      <c r="L15" s="148">
        <f t="shared" si="0"/>
        <v>0</v>
      </c>
      <c r="M15" s="148">
        <f t="shared" si="0"/>
        <v>0</v>
      </c>
      <c r="N15" s="148">
        <f t="shared" si="0"/>
        <v>3</v>
      </c>
      <c r="O15" s="148">
        <f t="shared" si="0"/>
        <v>0</v>
      </c>
      <c r="P15" s="149">
        <f t="shared" si="0"/>
        <v>0</v>
      </c>
    </row>
    <row r="16" spans="3:16" outlineLevel="1" x14ac:dyDescent="0.4">
      <c r="C16" s="93" t="s">
        <v>65</v>
      </c>
      <c r="D16" s="150">
        <f>SUM(Quarterly!E16:I16)</f>
        <v>0</v>
      </c>
      <c r="E16" s="150">
        <f>SUM(Quarterly!J16:M16)</f>
        <v>0</v>
      </c>
      <c r="F16" s="150">
        <f>SUM(Quarterly!N16:Q16)</f>
        <v>0</v>
      </c>
      <c r="G16" s="150">
        <f>SUM(Quarterly!R16:U16)</f>
        <v>20000</v>
      </c>
      <c r="H16" s="150">
        <f>SUM(Quarterly!V16:Y16)</f>
        <v>80000</v>
      </c>
      <c r="I16" s="150">
        <f>SUM(Quarterly!Z16:AC16)</f>
        <v>80000</v>
      </c>
      <c r="J16" s="150">
        <f>Quarterly!AD16*4</f>
        <v>80000</v>
      </c>
      <c r="K16" s="147">
        <f t="shared" si="1"/>
        <v>0</v>
      </c>
      <c r="L16" s="148">
        <f t="shared" si="0"/>
        <v>0</v>
      </c>
      <c r="M16" s="148">
        <f t="shared" si="0"/>
        <v>0</v>
      </c>
      <c r="N16" s="148">
        <f t="shared" si="0"/>
        <v>3</v>
      </c>
      <c r="O16" s="148">
        <f t="shared" si="0"/>
        <v>0</v>
      </c>
      <c r="P16" s="149">
        <f t="shared" si="0"/>
        <v>0</v>
      </c>
    </row>
    <row r="17" spans="3:16" outlineLevel="1" x14ac:dyDescent="0.4">
      <c r="C17" s="93" t="s">
        <v>66</v>
      </c>
      <c r="D17" s="150">
        <f>SUM(Quarterly!E17:I17)</f>
        <v>0</v>
      </c>
      <c r="E17" s="150">
        <f>SUM(Quarterly!J17:M17)</f>
        <v>0</v>
      </c>
      <c r="F17" s="150">
        <f>SUM(Quarterly!N17:Q17)</f>
        <v>0</v>
      </c>
      <c r="G17" s="150">
        <f>SUM(Quarterly!R17:U17)</f>
        <v>6000</v>
      </c>
      <c r="H17" s="150">
        <f>SUM(Quarterly!V17:Y17)</f>
        <v>24000</v>
      </c>
      <c r="I17" s="150">
        <f>SUM(Quarterly!Z17:AC17)</f>
        <v>24000</v>
      </c>
      <c r="J17" s="150">
        <f>Quarterly!AD17*4</f>
        <v>24000</v>
      </c>
      <c r="K17" s="147">
        <f t="shared" si="1"/>
        <v>0</v>
      </c>
      <c r="L17" s="148">
        <f t="shared" si="0"/>
        <v>0</v>
      </c>
      <c r="M17" s="148">
        <f t="shared" si="0"/>
        <v>0</v>
      </c>
      <c r="N17" s="148">
        <f t="shared" si="0"/>
        <v>3</v>
      </c>
      <c r="O17" s="148">
        <f t="shared" si="0"/>
        <v>0</v>
      </c>
      <c r="P17" s="149">
        <f t="shared" si="0"/>
        <v>0</v>
      </c>
    </row>
    <row r="18" spans="3:16" outlineLevel="1" x14ac:dyDescent="0.4">
      <c r="C18" s="93" t="s">
        <v>67</v>
      </c>
      <c r="D18" s="150">
        <f>SUM(Quarterly!E18:I18)</f>
        <v>0</v>
      </c>
      <c r="E18" s="150">
        <f>SUM(Quarterly!J18:M18)</f>
        <v>0</v>
      </c>
      <c r="F18" s="150">
        <f>SUM(Quarterly!N18:Q18)</f>
        <v>0</v>
      </c>
      <c r="G18" s="150">
        <f>SUM(Quarterly!R18:U18)</f>
        <v>6000</v>
      </c>
      <c r="H18" s="150">
        <f>SUM(Quarterly!V18:Y18)</f>
        <v>24000</v>
      </c>
      <c r="I18" s="150">
        <f>SUM(Quarterly!Z18:AC18)</f>
        <v>24000</v>
      </c>
      <c r="J18" s="150">
        <f>Quarterly!AD18*4</f>
        <v>24000</v>
      </c>
      <c r="K18" s="147">
        <f t="shared" si="1"/>
        <v>0</v>
      </c>
      <c r="L18" s="148">
        <f t="shared" si="0"/>
        <v>0</v>
      </c>
      <c r="M18" s="148">
        <f t="shared" si="0"/>
        <v>0</v>
      </c>
      <c r="N18" s="148">
        <f t="shared" si="0"/>
        <v>3</v>
      </c>
      <c r="O18" s="148">
        <f t="shared" si="0"/>
        <v>0</v>
      </c>
      <c r="P18" s="149">
        <f t="shared" si="0"/>
        <v>0</v>
      </c>
    </row>
    <row r="19" spans="3:16" outlineLevel="1" x14ac:dyDescent="0.4">
      <c r="C19" s="93" t="s">
        <v>68</v>
      </c>
      <c r="D19" s="150">
        <f>SUM(Quarterly!E19:I19)</f>
        <v>0</v>
      </c>
      <c r="E19" s="150">
        <f>SUM(Quarterly!J19:M19)</f>
        <v>0</v>
      </c>
      <c r="F19" s="150">
        <f>SUM(Quarterly!N19:Q19)</f>
        <v>0</v>
      </c>
      <c r="G19" s="150">
        <f>SUM(Quarterly!R19:U19)</f>
        <v>25000</v>
      </c>
      <c r="H19" s="150">
        <f>SUM(Quarterly!V19:Y19)</f>
        <v>100000</v>
      </c>
      <c r="I19" s="150">
        <f>SUM(Quarterly!Z19:AC19)</f>
        <v>100000</v>
      </c>
      <c r="J19" s="150">
        <f>Quarterly!AD19*4</f>
        <v>100000</v>
      </c>
      <c r="K19" s="147">
        <f t="shared" si="1"/>
        <v>0</v>
      </c>
      <c r="L19" s="148">
        <f t="shared" si="0"/>
        <v>0</v>
      </c>
      <c r="M19" s="148">
        <f t="shared" si="0"/>
        <v>0</v>
      </c>
      <c r="N19" s="148">
        <f t="shared" si="0"/>
        <v>3</v>
      </c>
      <c r="O19" s="148">
        <f t="shared" si="0"/>
        <v>0</v>
      </c>
      <c r="P19" s="149">
        <f t="shared" si="0"/>
        <v>0</v>
      </c>
    </row>
    <row r="20" spans="3:16" outlineLevel="1" x14ac:dyDescent="0.4">
      <c r="C20" s="93" t="s">
        <v>69</v>
      </c>
      <c r="D20" s="150">
        <f>SUM(Quarterly!E20:I20)</f>
        <v>0</v>
      </c>
      <c r="E20" s="150">
        <f>SUM(Quarterly!J20:M20)</f>
        <v>0</v>
      </c>
      <c r="F20" s="150">
        <f>SUM(Quarterly!N20:Q20)</f>
        <v>0</v>
      </c>
      <c r="G20" s="150">
        <f>SUM(Quarterly!R20:U20)</f>
        <v>10000</v>
      </c>
      <c r="H20" s="150">
        <f>SUM(Quarterly!V20:Y20)</f>
        <v>40000</v>
      </c>
      <c r="I20" s="150">
        <f>SUM(Quarterly!Z20:AC20)</f>
        <v>40000</v>
      </c>
      <c r="J20" s="150">
        <f>Quarterly!AD20*4</f>
        <v>40000</v>
      </c>
      <c r="K20" s="147">
        <f t="shared" si="1"/>
        <v>0</v>
      </c>
      <c r="L20" s="148">
        <f t="shared" si="0"/>
        <v>0</v>
      </c>
      <c r="M20" s="148">
        <f t="shared" si="0"/>
        <v>0</v>
      </c>
      <c r="N20" s="148">
        <f t="shared" si="0"/>
        <v>3</v>
      </c>
      <c r="O20" s="148">
        <f t="shared" si="0"/>
        <v>0</v>
      </c>
      <c r="P20" s="149">
        <f t="shared" si="0"/>
        <v>0</v>
      </c>
    </row>
    <row r="21" spans="3:16" ht="15" outlineLevel="1" thickBot="1" x14ac:dyDescent="0.45">
      <c r="C21" s="99" t="s">
        <v>70</v>
      </c>
      <c r="D21" s="152">
        <f>SUM(Quarterly!E21:I21)</f>
        <v>0</v>
      </c>
      <c r="E21" s="152">
        <f>SUM(Quarterly!J21:M21)</f>
        <v>0</v>
      </c>
      <c r="F21" s="152">
        <f>SUM(Quarterly!N21:Q21)</f>
        <v>0</v>
      </c>
      <c r="G21" s="152">
        <f>SUM(Quarterly!R21:U21)</f>
        <v>7000</v>
      </c>
      <c r="H21" s="152">
        <f>SUM(Quarterly!V21:Y21)</f>
        <v>28000</v>
      </c>
      <c r="I21" s="152">
        <f>SUM(Quarterly!Z21:AC21)</f>
        <v>28000</v>
      </c>
      <c r="J21" s="152">
        <f>Quarterly!AD21*4</f>
        <v>28000</v>
      </c>
      <c r="K21" s="153">
        <f t="shared" si="1"/>
        <v>0</v>
      </c>
      <c r="L21" s="154">
        <f t="shared" si="0"/>
        <v>0</v>
      </c>
      <c r="M21" s="154">
        <f t="shared" si="0"/>
        <v>0</v>
      </c>
      <c r="N21" s="154">
        <f t="shared" si="0"/>
        <v>3</v>
      </c>
      <c r="O21" s="154">
        <f t="shared" si="0"/>
        <v>0</v>
      </c>
      <c r="P21" s="155">
        <f t="shared" si="0"/>
        <v>0</v>
      </c>
    </row>
    <row r="22" spans="3:16" x14ac:dyDescent="0.4">
      <c r="C22" s="84" t="s">
        <v>72</v>
      </c>
      <c r="D22" s="156">
        <f>SUM(Quarterly!E22:I22)</f>
        <v>50000</v>
      </c>
      <c r="E22" s="156">
        <f>SUM(Quarterly!J22:M22)</f>
        <v>40000</v>
      </c>
      <c r="F22" s="156">
        <f>SUM(Quarterly!N22:Q22)</f>
        <v>40000</v>
      </c>
      <c r="G22" s="156">
        <f>SUM(Quarterly!R22:U22)</f>
        <v>50000</v>
      </c>
      <c r="H22" s="156">
        <f>SUM(Quarterly!V22:Y22)</f>
        <v>80000</v>
      </c>
      <c r="I22" s="156">
        <f>SUM(Quarterly!Z22:AC22)</f>
        <v>80000</v>
      </c>
      <c r="J22" s="156">
        <f>Quarterly!AD22*4</f>
        <v>80000</v>
      </c>
      <c r="K22" s="157">
        <f t="shared" si="1"/>
        <v>-0.19999999999999996</v>
      </c>
      <c r="L22" s="158">
        <f t="shared" si="0"/>
        <v>0</v>
      </c>
      <c r="M22" s="158">
        <f t="shared" si="0"/>
        <v>0.25</v>
      </c>
      <c r="N22" s="158">
        <f t="shared" si="0"/>
        <v>0.60000000000000009</v>
      </c>
      <c r="O22" s="158">
        <f t="shared" si="0"/>
        <v>0</v>
      </c>
      <c r="P22" s="159">
        <f t="shared" si="0"/>
        <v>0</v>
      </c>
    </row>
    <row r="23" spans="3:16" x14ac:dyDescent="0.4">
      <c r="C23" s="88" t="s">
        <v>63</v>
      </c>
      <c r="D23" s="142">
        <f>SUM(Quarterly!E23:I23)</f>
        <v>50000</v>
      </c>
      <c r="E23" s="142">
        <f>SUM(Quarterly!J23:M23)</f>
        <v>40000</v>
      </c>
      <c r="F23" s="142">
        <f>SUM(Quarterly!N23:Q23)</f>
        <v>40000</v>
      </c>
      <c r="G23" s="142">
        <f>SUM(Quarterly!R23:U23)</f>
        <v>40000</v>
      </c>
      <c r="H23" s="142">
        <f>SUM(Quarterly!V23:Y23)</f>
        <v>40000</v>
      </c>
      <c r="I23" s="142">
        <f>SUM(Quarterly!Z23:AC23)</f>
        <v>40000</v>
      </c>
      <c r="J23" s="142">
        <f>Quarterly!AD23*4</f>
        <v>40000</v>
      </c>
      <c r="K23" s="143">
        <f t="shared" si="1"/>
        <v>-0.19999999999999996</v>
      </c>
      <c r="L23" s="144">
        <f t="shared" si="0"/>
        <v>0</v>
      </c>
      <c r="M23" s="144">
        <f t="shared" si="0"/>
        <v>0</v>
      </c>
      <c r="N23" s="144">
        <f t="shared" si="0"/>
        <v>0</v>
      </c>
      <c r="O23" s="144">
        <f t="shared" si="0"/>
        <v>0</v>
      </c>
      <c r="P23" s="145">
        <f t="shared" si="0"/>
        <v>0</v>
      </c>
    </row>
    <row r="24" spans="3:16" outlineLevel="1" x14ac:dyDescent="0.4">
      <c r="C24" s="93" t="s">
        <v>73</v>
      </c>
      <c r="D24" s="150" t="e">
        <f>SUM(Quarterly!#REF!)</f>
        <v>#REF!</v>
      </c>
      <c r="E24" s="150" t="e">
        <f>SUM(Quarterly!#REF!)</f>
        <v>#REF!</v>
      </c>
      <c r="F24" s="150" t="e">
        <f>SUM(Quarterly!#REF!)</f>
        <v>#REF!</v>
      </c>
      <c r="G24" s="150" t="e">
        <f>SUM(Quarterly!#REF!)</f>
        <v>#REF!</v>
      </c>
      <c r="H24" s="150" t="e">
        <f>SUM(Quarterly!#REF!)</f>
        <v>#REF!</v>
      </c>
      <c r="I24" s="150" t="e">
        <f>SUM(Quarterly!#REF!)</f>
        <v>#REF!</v>
      </c>
      <c r="J24" s="150" t="e">
        <f>Quarterly!#REF!*4</f>
        <v>#REF!</v>
      </c>
      <c r="K24" s="147">
        <f t="shared" si="1"/>
        <v>0</v>
      </c>
      <c r="L24" s="148">
        <f t="shared" si="0"/>
        <v>0</v>
      </c>
      <c r="M24" s="148">
        <f t="shared" si="0"/>
        <v>0</v>
      </c>
      <c r="N24" s="148">
        <f t="shared" si="0"/>
        <v>0</v>
      </c>
      <c r="O24" s="148">
        <f t="shared" si="0"/>
        <v>0</v>
      </c>
      <c r="P24" s="149">
        <f t="shared" si="0"/>
        <v>0</v>
      </c>
    </row>
    <row r="25" spans="3:16" outlineLevel="1" x14ac:dyDescent="0.4">
      <c r="C25" s="93" t="s">
        <v>74</v>
      </c>
      <c r="D25" s="150">
        <f>SUM(Quarterly!E24:I24)</f>
        <v>50000</v>
      </c>
      <c r="E25" s="150">
        <f>SUM(Quarterly!J24:M24)</f>
        <v>40000</v>
      </c>
      <c r="F25" s="150">
        <f>SUM(Quarterly!N24:Q24)</f>
        <v>40000</v>
      </c>
      <c r="G25" s="150">
        <f>SUM(Quarterly!R24:U24)</f>
        <v>40000</v>
      </c>
      <c r="H25" s="150">
        <f>SUM(Quarterly!V24:Y24)</f>
        <v>40000</v>
      </c>
      <c r="I25" s="150">
        <f>SUM(Quarterly!Z24:AC24)</f>
        <v>40000</v>
      </c>
      <c r="J25" s="150">
        <f>Quarterly!AD24*4</f>
        <v>40000</v>
      </c>
      <c r="K25" s="147">
        <f t="shared" si="1"/>
        <v>-0.19999999999999996</v>
      </c>
      <c r="L25" s="148">
        <f t="shared" si="0"/>
        <v>0</v>
      </c>
      <c r="M25" s="148">
        <f t="shared" si="0"/>
        <v>0</v>
      </c>
      <c r="N25" s="148">
        <f t="shared" si="0"/>
        <v>0</v>
      </c>
      <c r="O25" s="148">
        <f t="shared" si="0"/>
        <v>0</v>
      </c>
      <c r="P25" s="149">
        <f t="shared" si="0"/>
        <v>0</v>
      </c>
    </row>
    <row r="26" spans="3:16" x14ac:dyDescent="0.4">
      <c r="C26" s="88" t="s">
        <v>71</v>
      </c>
      <c r="D26" s="151">
        <f>SUM(Quarterly!E25:I25)</f>
        <v>0</v>
      </c>
      <c r="E26" s="151">
        <f>SUM(Quarterly!J25:M25)</f>
        <v>0</v>
      </c>
      <c r="F26" s="151">
        <f>SUM(Quarterly!N25:Q25)</f>
        <v>0</v>
      </c>
      <c r="G26" s="151">
        <f>SUM(Quarterly!R25:U25)</f>
        <v>10000</v>
      </c>
      <c r="H26" s="151">
        <f>SUM(Quarterly!V25:Y25)</f>
        <v>40000</v>
      </c>
      <c r="I26" s="151">
        <f>SUM(Quarterly!Z25:AC25)</f>
        <v>40000</v>
      </c>
      <c r="J26" s="151">
        <f>Quarterly!AD25*4</f>
        <v>40000</v>
      </c>
      <c r="K26" s="143">
        <f t="shared" si="1"/>
        <v>0</v>
      </c>
      <c r="L26" s="144">
        <f t="shared" si="0"/>
        <v>0</v>
      </c>
      <c r="M26" s="144">
        <f t="shared" si="0"/>
        <v>0</v>
      </c>
      <c r="N26" s="144">
        <f t="shared" si="0"/>
        <v>3</v>
      </c>
      <c r="O26" s="144">
        <f t="shared" si="0"/>
        <v>0</v>
      </c>
      <c r="P26" s="145">
        <f t="shared" si="0"/>
        <v>0</v>
      </c>
    </row>
    <row r="27" spans="3:16" outlineLevel="1" x14ac:dyDescent="0.4">
      <c r="C27" s="93" t="s">
        <v>73</v>
      </c>
      <c r="D27" s="150" t="e">
        <f>SUM(Quarterly!#REF!)</f>
        <v>#REF!</v>
      </c>
      <c r="E27" s="150" t="e">
        <f>SUM(Quarterly!#REF!)</f>
        <v>#REF!</v>
      </c>
      <c r="F27" s="150" t="e">
        <f>SUM(Quarterly!#REF!)</f>
        <v>#REF!</v>
      </c>
      <c r="G27" s="150" t="e">
        <f>SUM(Quarterly!#REF!)</f>
        <v>#REF!</v>
      </c>
      <c r="H27" s="150" t="e">
        <f>SUM(Quarterly!#REF!)</f>
        <v>#REF!</v>
      </c>
      <c r="I27" s="150" t="e">
        <f>SUM(Quarterly!#REF!)</f>
        <v>#REF!</v>
      </c>
      <c r="J27" s="150" t="e">
        <f>Quarterly!#REF!*4</f>
        <v>#REF!</v>
      </c>
      <c r="K27" s="147">
        <f t="shared" si="1"/>
        <v>0</v>
      </c>
      <c r="L27" s="148">
        <f t="shared" si="0"/>
        <v>0</v>
      </c>
      <c r="M27" s="148">
        <f t="shared" si="0"/>
        <v>0</v>
      </c>
      <c r="N27" s="148">
        <f t="shared" si="0"/>
        <v>0</v>
      </c>
      <c r="O27" s="148">
        <f t="shared" si="0"/>
        <v>0</v>
      </c>
      <c r="P27" s="149">
        <f t="shared" si="0"/>
        <v>0</v>
      </c>
    </row>
    <row r="28" spans="3:16" ht="15" outlineLevel="1" thickBot="1" x14ac:dyDescent="0.45">
      <c r="C28" s="99" t="s">
        <v>74</v>
      </c>
      <c r="D28" s="152">
        <f>SUM(Quarterly!E26:I26)</f>
        <v>0</v>
      </c>
      <c r="E28" s="152">
        <f>SUM(Quarterly!J26:M26)</f>
        <v>0</v>
      </c>
      <c r="F28" s="152">
        <f>SUM(Quarterly!N26:Q26)</f>
        <v>0</v>
      </c>
      <c r="G28" s="152">
        <f>SUM(Quarterly!R26:U26)</f>
        <v>10000</v>
      </c>
      <c r="H28" s="152">
        <f>SUM(Quarterly!V26:Y26)</f>
        <v>40000</v>
      </c>
      <c r="I28" s="152">
        <f>SUM(Quarterly!Z26:AC26)</f>
        <v>40000</v>
      </c>
      <c r="J28" s="152">
        <f>Quarterly!AD26*4</f>
        <v>40000</v>
      </c>
      <c r="K28" s="153">
        <f t="shared" si="1"/>
        <v>0</v>
      </c>
      <c r="L28" s="154">
        <f t="shared" si="0"/>
        <v>0</v>
      </c>
      <c r="M28" s="154">
        <f t="shared" si="0"/>
        <v>0</v>
      </c>
      <c r="N28" s="154">
        <f t="shared" si="0"/>
        <v>3</v>
      </c>
      <c r="O28" s="154">
        <f t="shared" si="0"/>
        <v>0</v>
      </c>
      <c r="P28" s="155">
        <f t="shared" si="0"/>
        <v>0</v>
      </c>
    </row>
    <row r="29" spans="3:16" x14ac:dyDescent="0.4">
      <c r="C29" s="160" t="s">
        <v>83</v>
      </c>
      <c r="D29" s="161">
        <f>SUM(Quarterly!E27:I27)</f>
        <v>50000</v>
      </c>
      <c r="E29" s="161">
        <f>SUM(Quarterly!J27:M27)</f>
        <v>40000</v>
      </c>
      <c r="F29" s="161">
        <f>SUM(Quarterly!N27:Q27)</f>
        <v>40000</v>
      </c>
      <c r="G29" s="161">
        <f>SUM(Quarterly!R27:U27)</f>
        <v>50000</v>
      </c>
      <c r="H29" s="161">
        <f>SUM(Quarterly!V27:Y27)</f>
        <v>80000</v>
      </c>
      <c r="I29" s="161">
        <f>SUM(Quarterly!Z27:AC27)</f>
        <v>80000</v>
      </c>
      <c r="J29" s="161">
        <f>Quarterly!AD27*4</f>
        <v>80000</v>
      </c>
      <c r="K29" s="162">
        <f t="shared" si="1"/>
        <v>-0.19999999999999996</v>
      </c>
      <c r="L29" s="163">
        <f t="shared" si="0"/>
        <v>0</v>
      </c>
      <c r="M29" s="163">
        <f t="shared" si="0"/>
        <v>0.25</v>
      </c>
      <c r="N29" s="163">
        <f t="shared" si="0"/>
        <v>0.60000000000000009</v>
      </c>
      <c r="O29" s="163">
        <f t="shared" si="0"/>
        <v>0</v>
      </c>
      <c r="P29" s="164">
        <f t="shared" si="0"/>
        <v>0</v>
      </c>
    </row>
    <row r="30" spans="3:16" x14ac:dyDescent="0.4">
      <c r="C30" s="88" t="s">
        <v>63</v>
      </c>
      <c r="D30" s="151">
        <f>SUM(Quarterly!E28:I28)</f>
        <v>50000</v>
      </c>
      <c r="E30" s="151">
        <f>SUM(Quarterly!J28:M28)</f>
        <v>40000</v>
      </c>
      <c r="F30" s="151">
        <f>SUM(Quarterly!N28:Q28)</f>
        <v>40000</v>
      </c>
      <c r="G30" s="151">
        <f>SUM(Quarterly!R28:U28)</f>
        <v>40000</v>
      </c>
      <c r="H30" s="151">
        <f>SUM(Quarterly!V28:Y28)</f>
        <v>40000</v>
      </c>
      <c r="I30" s="151">
        <f>SUM(Quarterly!Z28:AC28)</f>
        <v>40000</v>
      </c>
      <c r="J30" s="151">
        <f>Quarterly!AD28*4</f>
        <v>40000</v>
      </c>
      <c r="K30" s="143">
        <f t="shared" si="1"/>
        <v>-0.19999999999999996</v>
      </c>
      <c r="L30" s="144">
        <f t="shared" si="0"/>
        <v>0</v>
      </c>
      <c r="M30" s="144">
        <f t="shared" si="0"/>
        <v>0</v>
      </c>
      <c r="N30" s="144">
        <f t="shared" si="0"/>
        <v>0</v>
      </c>
      <c r="O30" s="144">
        <f t="shared" si="0"/>
        <v>0</v>
      </c>
      <c r="P30" s="145">
        <f t="shared" si="0"/>
        <v>0</v>
      </c>
    </row>
    <row r="31" spans="3:16" outlineLevel="1" x14ac:dyDescent="0.4">
      <c r="C31" s="93" t="s">
        <v>75</v>
      </c>
      <c r="D31" s="150">
        <f>SUM(Quarterly!E29:I29)</f>
        <v>50000</v>
      </c>
      <c r="E31" s="150">
        <f>SUM(Quarterly!J29:M29)</f>
        <v>40000</v>
      </c>
      <c r="F31" s="150">
        <f>SUM(Quarterly!N29:Q29)</f>
        <v>40000</v>
      </c>
      <c r="G31" s="150">
        <f>SUM(Quarterly!R29:U29)</f>
        <v>40000</v>
      </c>
      <c r="H31" s="150">
        <f>SUM(Quarterly!V29:Y29)</f>
        <v>40000</v>
      </c>
      <c r="I31" s="150">
        <f>SUM(Quarterly!Z29:AC29)</f>
        <v>40000</v>
      </c>
      <c r="J31" s="150">
        <f>Quarterly!AD29*4</f>
        <v>40000</v>
      </c>
      <c r="K31" s="147">
        <f t="shared" si="1"/>
        <v>-0.19999999999999996</v>
      </c>
      <c r="L31" s="148">
        <f t="shared" si="0"/>
        <v>0</v>
      </c>
      <c r="M31" s="148">
        <f t="shared" si="0"/>
        <v>0</v>
      </c>
      <c r="N31" s="148">
        <f t="shared" si="0"/>
        <v>0</v>
      </c>
      <c r="O31" s="148">
        <f t="shared" si="0"/>
        <v>0</v>
      </c>
      <c r="P31" s="149">
        <f t="shared" si="0"/>
        <v>0</v>
      </c>
    </row>
    <row r="32" spans="3:16" outlineLevel="1" x14ac:dyDescent="0.4">
      <c r="C32" s="93" t="s">
        <v>76</v>
      </c>
      <c r="D32" s="150" t="e">
        <f>SUM(Quarterly!#REF!)</f>
        <v>#REF!</v>
      </c>
      <c r="E32" s="150" t="e">
        <f>SUM(Quarterly!#REF!)</f>
        <v>#REF!</v>
      </c>
      <c r="F32" s="150" t="e">
        <f>SUM(Quarterly!#REF!)</f>
        <v>#REF!</v>
      </c>
      <c r="G32" s="150" t="e">
        <f>SUM(Quarterly!#REF!)</f>
        <v>#REF!</v>
      </c>
      <c r="H32" s="150" t="e">
        <f>SUM(Quarterly!#REF!)</f>
        <v>#REF!</v>
      </c>
      <c r="I32" s="150" t="e">
        <f>SUM(Quarterly!#REF!)</f>
        <v>#REF!</v>
      </c>
      <c r="J32" s="150" t="e">
        <f>Quarterly!#REF!*4</f>
        <v>#REF!</v>
      </c>
      <c r="K32" s="147">
        <f t="shared" si="1"/>
        <v>0</v>
      </c>
      <c r="L32" s="148">
        <f t="shared" si="0"/>
        <v>0</v>
      </c>
      <c r="M32" s="148">
        <f t="shared" si="0"/>
        <v>0</v>
      </c>
      <c r="N32" s="148">
        <f t="shared" si="0"/>
        <v>0</v>
      </c>
      <c r="O32" s="148">
        <f t="shared" si="0"/>
        <v>0</v>
      </c>
      <c r="P32" s="149">
        <f t="shared" si="0"/>
        <v>0</v>
      </c>
    </row>
    <row r="33" spans="3:16" x14ac:dyDescent="0.4">
      <c r="C33" s="88" t="s">
        <v>71</v>
      </c>
      <c r="D33" s="151">
        <f>SUM(Quarterly!E30:I30)</f>
        <v>0</v>
      </c>
      <c r="E33" s="151">
        <f>SUM(Quarterly!J30:M30)</f>
        <v>0</v>
      </c>
      <c r="F33" s="151">
        <f>SUM(Quarterly!N30:Q30)</f>
        <v>0</v>
      </c>
      <c r="G33" s="151">
        <f>SUM(Quarterly!R30:U30)</f>
        <v>10000</v>
      </c>
      <c r="H33" s="151">
        <f>SUM(Quarterly!V30:Y30)</f>
        <v>40000</v>
      </c>
      <c r="I33" s="151">
        <f>SUM(Quarterly!Z30:AC30)</f>
        <v>40000</v>
      </c>
      <c r="J33" s="151">
        <f>Quarterly!AD30*4</f>
        <v>40000</v>
      </c>
      <c r="K33" s="143">
        <f t="shared" si="1"/>
        <v>0</v>
      </c>
      <c r="L33" s="144">
        <f t="shared" si="0"/>
        <v>0</v>
      </c>
      <c r="M33" s="144">
        <f t="shared" si="0"/>
        <v>0</v>
      </c>
      <c r="N33" s="144">
        <f t="shared" si="0"/>
        <v>3</v>
      </c>
      <c r="O33" s="144">
        <f t="shared" si="0"/>
        <v>0</v>
      </c>
      <c r="P33" s="145">
        <f t="shared" si="0"/>
        <v>0</v>
      </c>
    </row>
    <row r="34" spans="3:16" outlineLevel="1" x14ac:dyDescent="0.4">
      <c r="C34" s="93" t="s">
        <v>75</v>
      </c>
      <c r="D34" s="150">
        <f>SUM(Quarterly!E31:I31)</f>
        <v>0</v>
      </c>
      <c r="E34" s="150">
        <f>SUM(Quarterly!J31:M31)</f>
        <v>0</v>
      </c>
      <c r="F34" s="150">
        <f>SUM(Quarterly!N31:Q31)</f>
        <v>0</v>
      </c>
      <c r="G34" s="150">
        <f>SUM(Quarterly!R31:U31)</f>
        <v>10000</v>
      </c>
      <c r="H34" s="150">
        <f>SUM(Quarterly!V31:Y31)</f>
        <v>40000</v>
      </c>
      <c r="I34" s="150">
        <f>SUM(Quarterly!Z31:AC31)</f>
        <v>40000</v>
      </c>
      <c r="J34" s="150">
        <f>Quarterly!AD31*4</f>
        <v>40000</v>
      </c>
      <c r="K34" s="147">
        <f t="shared" si="1"/>
        <v>0</v>
      </c>
      <c r="L34" s="148">
        <f t="shared" si="0"/>
        <v>0</v>
      </c>
      <c r="M34" s="148">
        <f t="shared" si="0"/>
        <v>0</v>
      </c>
      <c r="N34" s="148">
        <f t="shared" si="0"/>
        <v>3</v>
      </c>
      <c r="O34" s="148">
        <f t="shared" si="0"/>
        <v>0</v>
      </c>
      <c r="P34" s="149">
        <f t="shared" si="0"/>
        <v>0</v>
      </c>
    </row>
    <row r="35" spans="3:16" ht="15" outlineLevel="1" thickBot="1" x14ac:dyDescent="0.45">
      <c r="C35" s="99" t="s">
        <v>76</v>
      </c>
      <c r="D35" s="152" t="e">
        <f>SUM(Quarterly!#REF!)</f>
        <v>#REF!</v>
      </c>
      <c r="E35" s="152" t="e">
        <f>SUM(Quarterly!#REF!)</f>
        <v>#REF!</v>
      </c>
      <c r="F35" s="152" t="e">
        <f>SUM(Quarterly!#REF!)</f>
        <v>#REF!</v>
      </c>
      <c r="G35" s="152" t="e">
        <f>SUM(Quarterly!#REF!)</f>
        <v>#REF!</v>
      </c>
      <c r="H35" s="152" t="e">
        <f>SUM(Quarterly!#REF!)</f>
        <v>#REF!</v>
      </c>
      <c r="I35" s="152" t="e">
        <f>SUM(Quarterly!#REF!)</f>
        <v>#REF!</v>
      </c>
      <c r="J35" s="152" t="e">
        <f>Quarterly!#REF!*4</f>
        <v>#REF!</v>
      </c>
      <c r="K35" s="153">
        <f t="shared" si="1"/>
        <v>0</v>
      </c>
      <c r="L35" s="154">
        <f t="shared" si="0"/>
        <v>0</v>
      </c>
      <c r="M35" s="154">
        <f t="shared" si="0"/>
        <v>0</v>
      </c>
      <c r="N35" s="154">
        <f t="shared" si="0"/>
        <v>0</v>
      </c>
      <c r="O35" s="154">
        <f t="shared" si="0"/>
        <v>0</v>
      </c>
      <c r="P35" s="155">
        <f t="shared" si="0"/>
        <v>0</v>
      </c>
    </row>
  </sheetData>
  <mergeCells count="2">
    <mergeCell ref="D2:J2"/>
    <mergeCell ref="K2:P2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E500-65ED-4406-98D3-4411591521C8}">
  <dimension ref="B2:H50"/>
  <sheetViews>
    <sheetView showGridLines="0" topLeftCell="A13" workbookViewId="0">
      <selection activeCell="B33" sqref="B33:C41"/>
    </sheetView>
  </sheetViews>
  <sheetFormatPr defaultRowHeight="14.6" x14ac:dyDescent="0.4"/>
  <cols>
    <col min="1" max="1" width="9.23046875" style="1"/>
    <col min="2" max="2" width="42.84375" style="1" customWidth="1"/>
    <col min="3" max="3" width="9.921875" style="5" bestFit="1" customWidth="1"/>
    <col min="4" max="9" width="9.23046875" style="1"/>
    <col min="10" max="10" width="30.4609375" style="1" bestFit="1" customWidth="1"/>
    <col min="11" max="11" width="9.23046875" style="1"/>
    <col min="12" max="12" width="11.61328125" style="1" bestFit="1" customWidth="1"/>
    <col min="13" max="16384" width="9.23046875" style="1"/>
  </cols>
  <sheetData>
    <row r="2" spans="2:3" x14ac:dyDescent="0.4">
      <c r="B2" s="33" t="s">
        <v>0</v>
      </c>
      <c r="C2" s="33"/>
    </row>
    <row r="3" spans="2:3" x14ac:dyDescent="0.4">
      <c r="B3" s="6"/>
      <c r="C3" s="7"/>
    </row>
    <row r="4" spans="2:3" x14ac:dyDescent="0.4">
      <c r="B4" s="8" t="s">
        <v>1</v>
      </c>
      <c r="C4" s="9" t="s">
        <v>5</v>
      </c>
    </row>
    <row r="5" spans="2:3" x14ac:dyDescent="0.4">
      <c r="B5" s="6" t="s">
        <v>2</v>
      </c>
      <c r="C5" s="178">
        <v>0</v>
      </c>
    </row>
    <row r="6" spans="2:3" x14ac:dyDescent="0.4">
      <c r="B6" s="6" t="s">
        <v>3</v>
      </c>
      <c r="C6" s="178">
        <v>40</v>
      </c>
    </row>
    <row r="7" spans="2:3" x14ac:dyDescent="0.4">
      <c r="B7" s="6" t="s">
        <v>4</v>
      </c>
      <c r="C7" s="178">
        <v>200</v>
      </c>
    </row>
    <row r="8" spans="2:3" x14ac:dyDescent="0.4">
      <c r="B8" s="6" t="s">
        <v>95</v>
      </c>
      <c r="C8" s="177">
        <v>0.45</v>
      </c>
    </row>
    <row r="9" spans="2:3" x14ac:dyDescent="0.4">
      <c r="B9" s="8" t="s">
        <v>6</v>
      </c>
      <c r="C9" s="9" t="s">
        <v>8</v>
      </c>
    </row>
    <row r="10" spans="2:3" x14ac:dyDescent="0.4">
      <c r="B10" s="6" t="s">
        <v>7</v>
      </c>
      <c r="C10" s="178">
        <v>10000</v>
      </c>
    </row>
    <row r="11" spans="2:3" x14ac:dyDescent="0.4">
      <c r="B11" s="6" t="s">
        <v>9</v>
      </c>
      <c r="C11" s="178">
        <v>50000</v>
      </c>
    </row>
    <row r="12" spans="2:3" x14ac:dyDescent="0.4">
      <c r="B12" s="6"/>
      <c r="C12" s="7"/>
    </row>
    <row r="13" spans="2:3" x14ac:dyDescent="0.4">
      <c r="B13" s="8" t="s">
        <v>10</v>
      </c>
      <c r="C13" s="9"/>
    </row>
    <row r="14" spans="2:3" x14ac:dyDescent="0.4">
      <c r="B14" s="6" t="s">
        <v>11</v>
      </c>
      <c r="C14" s="179">
        <v>0.01</v>
      </c>
    </row>
    <row r="15" spans="2:3" x14ac:dyDescent="0.4">
      <c r="B15" s="6"/>
      <c r="C15" s="7"/>
    </row>
    <row r="16" spans="2:3" x14ac:dyDescent="0.4">
      <c r="B16" s="8" t="s">
        <v>12</v>
      </c>
      <c r="C16" s="9"/>
    </row>
    <row r="17" spans="2:8" x14ac:dyDescent="0.4">
      <c r="B17" s="6" t="s">
        <v>13</v>
      </c>
      <c r="C17" s="177">
        <v>0.02</v>
      </c>
    </row>
    <row r="19" spans="2:8" x14ac:dyDescent="0.4">
      <c r="B19" s="33" t="s">
        <v>14</v>
      </c>
      <c r="C19" s="33"/>
    </row>
    <row r="20" spans="2:8" x14ac:dyDescent="0.4">
      <c r="B20" s="6"/>
      <c r="C20" s="7"/>
    </row>
    <row r="21" spans="2:8" x14ac:dyDescent="0.4">
      <c r="B21" s="6" t="s">
        <v>15</v>
      </c>
      <c r="C21" s="7" t="s">
        <v>5</v>
      </c>
    </row>
    <row r="22" spans="2:8" x14ac:dyDescent="0.4">
      <c r="B22" s="6" t="s">
        <v>16</v>
      </c>
      <c r="C22" s="11">
        <v>5000</v>
      </c>
    </row>
    <row r="23" spans="2:8" x14ac:dyDescent="0.4">
      <c r="B23" s="6" t="s">
        <v>17</v>
      </c>
      <c r="C23" s="11">
        <v>30000</v>
      </c>
    </row>
    <row r="24" spans="2:8" x14ac:dyDescent="0.4">
      <c r="B24" s="6" t="s">
        <v>18</v>
      </c>
      <c r="C24" s="11">
        <v>3000</v>
      </c>
    </row>
    <row r="25" spans="2:8" x14ac:dyDescent="0.4">
      <c r="B25" s="6" t="s">
        <v>19</v>
      </c>
      <c r="C25" s="11">
        <v>2000</v>
      </c>
    </row>
    <row r="26" spans="2:8" x14ac:dyDescent="0.4">
      <c r="B26" s="6"/>
      <c r="C26" s="7"/>
    </row>
    <row r="27" spans="2:8" x14ac:dyDescent="0.4">
      <c r="B27" s="6" t="s">
        <v>20</v>
      </c>
      <c r="C27" s="7"/>
      <c r="H27" s="4"/>
    </row>
    <row r="28" spans="2:8" x14ac:dyDescent="0.4">
      <c r="B28" s="6" t="s">
        <v>21</v>
      </c>
      <c r="C28" s="10">
        <v>0.2</v>
      </c>
      <c r="D28" s="1" t="s">
        <v>22</v>
      </c>
    </row>
    <row r="29" spans="2:8" x14ac:dyDescent="0.4">
      <c r="B29" s="6" t="s">
        <v>23</v>
      </c>
      <c r="C29" s="7">
        <v>1000</v>
      </c>
      <c r="D29" s="1" t="s">
        <v>24</v>
      </c>
    </row>
    <row r="30" spans="2:8" x14ac:dyDescent="0.4">
      <c r="B30" s="6" t="s">
        <v>25</v>
      </c>
      <c r="C30" s="10">
        <v>0.1</v>
      </c>
      <c r="D30" s="1" t="s">
        <v>22</v>
      </c>
    </row>
    <row r="33" spans="2:3" x14ac:dyDescent="0.4">
      <c r="B33" s="33" t="s">
        <v>26</v>
      </c>
      <c r="C33" s="33"/>
    </row>
    <row r="34" spans="2:3" x14ac:dyDescent="0.4">
      <c r="B34" s="6"/>
      <c r="C34" s="7"/>
    </row>
    <row r="35" spans="2:3" x14ac:dyDescent="0.4">
      <c r="B35" s="6" t="s">
        <v>27</v>
      </c>
      <c r="C35" s="11">
        <v>500000</v>
      </c>
    </row>
    <row r="36" spans="2:3" x14ac:dyDescent="0.4">
      <c r="B36" s="6"/>
      <c r="C36" s="7"/>
    </row>
    <row r="37" spans="2:3" x14ac:dyDescent="0.4">
      <c r="B37" s="6" t="s">
        <v>28</v>
      </c>
      <c r="C37" s="7"/>
    </row>
    <row r="38" spans="2:3" x14ac:dyDescent="0.4">
      <c r="B38" s="6" t="s">
        <v>29</v>
      </c>
      <c r="C38" s="10">
        <v>0.5</v>
      </c>
    </row>
    <row r="39" spans="2:3" x14ac:dyDescent="0.4">
      <c r="B39" s="6" t="s">
        <v>30</v>
      </c>
      <c r="C39" s="10">
        <v>0.3</v>
      </c>
    </row>
    <row r="40" spans="2:3" x14ac:dyDescent="0.4">
      <c r="B40" s="6" t="s">
        <v>31</v>
      </c>
      <c r="C40" s="10">
        <v>0.15</v>
      </c>
    </row>
    <row r="41" spans="2:3" x14ac:dyDescent="0.4">
      <c r="B41" s="6" t="s">
        <v>19</v>
      </c>
      <c r="C41" s="10">
        <v>0.05</v>
      </c>
    </row>
    <row r="44" spans="2:3" x14ac:dyDescent="0.4">
      <c r="C44" s="1"/>
    </row>
    <row r="45" spans="2:3" x14ac:dyDescent="0.4">
      <c r="C45" s="1"/>
    </row>
    <row r="46" spans="2:3" x14ac:dyDescent="0.4">
      <c r="C46" s="1"/>
    </row>
    <row r="47" spans="2:3" x14ac:dyDescent="0.4">
      <c r="C47" s="1"/>
    </row>
    <row r="48" spans="2:3" x14ac:dyDescent="0.4">
      <c r="C48" s="1"/>
    </row>
    <row r="49" spans="3:3" x14ac:dyDescent="0.4">
      <c r="C49" s="1"/>
    </row>
    <row r="50" spans="3:3" x14ac:dyDescent="0.4">
      <c r="C50" s="1"/>
    </row>
  </sheetData>
  <mergeCells count="3">
    <mergeCell ref="B2:C2"/>
    <mergeCell ref="B19:C19"/>
    <mergeCell ref="B33:C3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009D-60D8-4A2C-91FB-F93DC1034810}">
  <dimension ref="B2:XFD78"/>
  <sheetViews>
    <sheetView showGridLines="0" tabSelected="1" topLeftCell="A2" zoomScaleNormal="100" workbookViewId="0">
      <pane xSplit="3" ySplit="3" topLeftCell="D56" activePane="bottomRight" state="frozen"/>
      <selection activeCell="A2" sqref="A2"/>
      <selection pane="topRight" activeCell="D2" sqref="D2"/>
      <selection pane="bottomLeft" activeCell="A5" sqref="A5"/>
      <selection pane="bottomRight" activeCell="B72" sqref="B72:C78"/>
    </sheetView>
  </sheetViews>
  <sheetFormatPr defaultColWidth="10.3828125" defaultRowHeight="14.6" x14ac:dyDescent="0.4"/>
  <cols>
    <col min="2" max="2" width="30.765625" bestFit="1" customWidth="1"/>
    <col min="3" max="3" width="10.921875" style="2" bestFit="1" customWidth="1"/>
    <col min="25" max="25" width="13.53515625" bestFit="1" customWidth="1"/>
    <col min="26" max="26" width="13.15234375" bestFit="1" customWidth="1"/>
  </cols>
  <sheetData>
    <row r="2" spans="2:33 16384:16384" x14ac:dyDescent="0.4">
      <c r="B2" s="3" t="s">
        <v>32</v>
      </c>
      <c r="D2" s="34" t="s">
        <v>38</v>
      </c>
      <c r="E2" s="34"/>
      <c r="F2" s="34" t="s">
        <v>39</v>
      </c>
      <c r="G2" s="34"/>
      <c r="H2" s="34"/>
      <c r="I2" s="34"/>
      <c r="J2" s="34" t="s">
        <v>40</v>
      </c>
      <c r="K2" s="34"/>
      <c r="L2" s="34"/>
      <c r="M2" s="34"/>
      <c r="N2" s="34" t="s">
        <v>41</v>
      </c>
      <c r="O2" s="34"/>
      <c r="P2" s="34"/>
      <c r="Q2" s="34"/>
      <c r="R2" s="34" t="s">
        <v>42</v>
      </c>
      <c r="S2" s="34"/>
      <c r="T2" s="34"/>
      <c r="U2" s="34"/>
      <c r="V2" s="34" t="s">
        <v>43</v>
      </c>
      <c r="W2" s="34"/>
      <c r="X2" s="34"/>
      <c r="Y2" s="34"/>
      <c r="Z2" s="34" t="s">
        <v>44</v>
      </c>
      <c r="AA2" s="34"/>
      <c r="AB2" s="34"/>
      <c r="AC2" s="34"/>
      <c r="AD2" s="34" t="s">
        <v>45</v>
      </c>
      <c r="AE2" s="34"/>
      <c r="AF2" s="34"/>
      <c r="AG2" s="34"/>
    </row>
    <row r="3" spans="2:33 16384:16384" x14ac:dyDescent="0.4">
      <c r="D3" s="12" t="s">
        <v>35</v>
      </c>
      <c r="E3" s="12" t="s">
        <v>34</v>
      </c>
      <c r="F3" s="12" t="s">
        <v>36</v>
      </c>
      <c r="G3" s="12" t="s">
        <v>37</v>
      </c>
      <c r="H3" s="12" t="s">
        <v>35</v>
      </c>
      <c r="I3" s="12" t="s">
        <v>34</v>
      </c>
      <c r="J3" s="12" t="s">
        <v>36</v>
      </c>
      <c r="K3" s="12" t="s">
        <v>37</v>
      </c>
      <c r="L3" s="12" t="s">
        <v>35</v>
      </c>
      <c r="M3" s="12" t="s">
        <v>34</v>
      </c>
      <c r="N3" s="12" t="s">
        <v>36</v>
      </c>
      <c r="O3" s="12" t="s">
        <v>37</v>
      </c>
      <c r="P3" s="12" t="s">
        <v>35</v>
      </c>
      <c r="Q3" s="12" t="s">
        <v>34</v>
      </c>
      <c r="R3" s="12" t="s">
        <v>36</v>
      </c>
      <c r="S3" s="12" t="s">
        <v>37</v>
      </c>
      <c r="T3" s="12" t="s">
        <v>35</v>
      </c>
      <c r="U3" s="12" t="s">
        <v>34</v>
      </c>
      <c r="V3" s="12" t="s">
        <v>36</v>
      </c>
      <c r="W3" s="12" t="s">
        <v>37</v>
      </c>
      <c r="X3" s="12" t="s">
        <v>35</v>
      </c>
      <c r="Y3" s="12" t="s">
        <v>34</v>
      </c>
      <c r="Z3" s="12" t="s">
        <v>36</v>
      </c>
      <c r="AA3" s="12" t="s">
        <v>37</v>
      </c>
      <c r="AB3" s="12" t="s">
        <v>35</v>
      </c>
      <c r="AC3" s="12" t="s">
        <v>34</v>
      </c>
      <c r="AD3" s="12" t="s">
        <v>36</v>
      </c>
      <c r="AE3" s="12" t="s">
        <v>37</v>
      </c>
      <c r="AF3" s="12" t="s">
        <v>35</v>
      </c>
      <c r="AG3" s="12" t="s">
        <v>34</v>
      </c>
    </row>
    <row r="4" spans="2:33 16384:16384" x14ac:dyDescent="0.4">
      <c r="C4" s="12" t="s">
        <v>46</v>
      </c>
      <c r="D4" s="23">
        <v>45931</v>
      </c>
      <c r="E4" s="24">
        <f>EDATE(D4,3)</f>
        <v>46023</v>
      </c>
      <c r="F4" s="24">
        <f t="shared" ref="F4:AE4" si="0">EDATE(E4,3)</f>
        <v>46113</v>
      </c>
      <c r="G4" s="24">
        <f t="shared" si="0"/>
        <v>46204</v>
      </c>
      <c r="H4" s="24">
        <f t="shared" si="0"/>
        <v>46296</v>
      </c>
      <c r="I4" s="24">
        <f t="shared" si="0"/>
        <v>46388</v>
      </c>
      <c r="J4" s="24">
        <f t="shared" si="0"/>
        <v>46478</v>
      </c>
      <c r="K4" s="24">
        <f t="shared" si="0"/>
        <v>46569</v>
      </c>
      <c r="L4" s="24">
        <f t="shared" si="0"/>
        <v>46661</v>
      </c>
      <c r="M4" s="24">
        <f t="shared" si="0"/>
        <v>46753</v>
      </c>
      <c r="N4" s="24">
        <f t="shared" si="0"/>
        <v>46844</v>
      </c>
      <c r="O4" s="24">
        <f t="shared" si="0"/>
        <v>46935</v>
      </c>
      <c r="P4" s="24">
        <f t="shared" si="0"/>
        <v>47027</v>
      </c>
      <c r="Q4" s="24">
        <f t="shared" si="0"/>
        <v>47119</v>
      </c>
      <c r="R4" s="24">
        <f t="shared" si="0"/>
        <v>47209</v>
      </c>
      <c r="S4" s="24">
        <f t="shared" si="0"/>
        <v>47300</v>
      </c>
      <c r="T4" s="24">
        <f t="shared" si="0"/>
        <v>47392</v>
      </c>
      <c r="U4" s="24">
        <f t="shared" si="0"/>
        <v>47484</v>
      </c>
      <c r="V4" s="24">
        <f t="shared" si="0"/>
        <v>47574</v>
      </c>
      <c r="W4" s="24">
        <f t="shared" si="0"/>
        <v>47665</v>
      </c>
      <c r="X4" s="24">
        <f t="shared" si="0"/>
        <v>47757</v>
      </c>
      <c r="Y4" s="24">
        <f t="shared" si="0"/>
        <v>47849</v>
      </c>
      <c r="Z4" s="24">
        <f t="shared" si="0"/>
        <v>47939</v>
      </c>
      <c r="AA4" s="24">
        <f t="shared" si="0"/>
        <v>48030</v>
      </c>
      <c r="AB4" s="24">
        <f t="shared" si="0"/>
        <v>48122</v>
      </c>
      <c r="AC4" s="24">
        <f t="shared" si="0"/>
        <v>48214</v>
      </c>
      <c r="AD4" s="24">
        <f t="shared" si="0"/>
        <v>48305</v>
      </c>
      <c r="AE4" s="24">
        <f t="shared" si="0"/>
        <v>48396</v>
      </c>
      <c r="AF4" s="24">
        <f t="shared" ref="AF4:AG4" si="1">EDATE(AE4,3)</f>
        <v>48488</v>
      </c>
      <c r="AG4" s="25">
        <f t="shared" si="1"/>
        <v>48580</v>
      </c>
    </row>
    <row r="5" spans="2:33 16384:16384" x14ac:dyDescent="0.4">
      <c r="B5" s="165" t="s">
        <v>102</v>
      </c>
      <c r="D5" s="36" t="s">
        <v>48</v>
      </c>
      <c r="E5" s="35"/>
      <c r="AG5" s="26"/>
    </row>
    <row r="6" spans="2:33 16384:16384" x14ac:dyDescent="0.4">
      <c r="D6" s="36" t="s">
        <v>49</v>
      </c>
      <c r="E6" s="35"/>
      <c r="AG6" s="26"/>
    </row>
    <row r="7" spans="2:33 16384:16384" x14ac:dyDescent="0.4">
      <c r="D7" s="27"/>
      <c r="E7" s="2"/>
      <c r="F7" s="35" t="s">
        <v>47</v>
      </c>
      <c r="G7" s="35"/>
      <c r="H7" s="35" t="s">
        <v>53</v>
      </c>
      <c r="I7" s="35"/>
      <c r="AG7" s="26"/>
    </row>
    <row r="8" spans="2:33 16384:16384" x14ac:dyDescent="0.4">
      <c r="D8" s="27"/>
      <c r="E8" s="2"/>
      <c r="F8" s="2"/>
      <c r="G8" s="2"/>
      <c r="H8" s="35" t="s">
        <v>50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2"/>
      <c r="AA8" s="2"/>
      <c r="AG8" s="26"/>
    </row>
    <row r="9" spans="2:33 16384:16384" x14ac:dyDescent="0.4">
      <c r="D9" s="28"/>
      <c r="E9" s="29"/>
      <c r="F9" s="29"/>
      <c r="G9" s="29"/>
      <c r="H9" s="29"/>
      <c r="I9" s="32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37" t="s">
        <v>51</v>
      </c>
      <c r="AA9" s="37"/>
      <c r="AB9" s="30"/>
      <c r="AC9" s="30"/>
      <c r="AD9" s="30"/>
      <c r="AE9" s="30"/>
      <c r="AF9" s="30"/>
      <c r="AG9" s="31"/>
    </row>
    <row r="10" spans="2:33 16384:16384" x14ac:dyDescent="0.4">
      <c r="D10" s="20"/>
      <c r="E10" s="20"/>
      <c r="F10" s="20"/>
      <c r="G10" s="20"/>
      <c r="H10" s="20"/>
      <c r="I10" s="22">
        <f t="shared" ref="I10:N10" si="2">I11/H12</f>
        <v>0.45</v>
      </c>
      <c r="J10" s="22">
        <f t="shared" si="2"/>
        <v>0.45</v>
      </c>
      <c r="K10" s="22">
        <f t="shared" si="2"/>
        <v>0.10463733650416171</v>
      </c>
      <c r="L10" s="22">
        <f t="shared" si="2"/>
        <v>0.45</v>
      </c>
      <c r="M10" s="22">
        <f t="shared" si="2"/>
        <v>0.45</v>
      </c>
      <c r="N10" s="22">
        <f t="shared" si="2"/>
        <v>0.4499999999999999</v>
      </c>
      <c r="O10" s="22">
        <f>O11/N12</f>
        <v>0.44999999999999996</v>
      </c>
      <c r="P10" s="22">
        <f t="shared" ref="P10:Y10" si="3">P11/O12</f>
        <v>0.4499999999999999</v>
      </c>
      <c r="Q10" s="22">
        <f t="shared" si="3"/>
        <v>0.44999999999999996</v>
      </c>
      <c r="R10" s="22">
        <f t="shared" si="3"/>
        <v>0.45000000000000007</v>
      </c>
      <c r="S10" s="22">
        <f t="shared" si="3"/>
        <v>0.45</v>
      </c>
      <c r="T10" s="22">
        <f t="shared" si="3"/>
        <v>0.45000000000000012</v>
      </c>
      <c r="U10" s="22">
        <f t="shared" si="3"/>
        <v>0.4499999999999999</v>
      </c>
      <c r="V10" s="22">
        <f t="shared" si="3"/>
        <v>0.45</v>
      </c>
      <c r="W10" s="22">
        <f t="shared" si="3"/>
        <v>0.44999999999999996</v>
      </c>
      <c r="X10" s="22">
        <f t="shared" si="3"/>
        <v>0.44999999999999996</v>
      </c>
      <c r="Y10" s="22">
        <f t="shared" si="3"/>
        <v>0.4499999999999999</v>
      </c>
      <c r="Z10" s="2"/>
      <c r="AA10" s="2"/>
    </row>
    <row r="11" spans="2:33 16384:16384" x14ac:dyDescent="0.4">
      <c r="B11" s="14" t="s">
        <v>54</v>
      </c>
      <c r="D11" s="19"/>
      <c r="E11" s="16"/>
      <c r="F11" s="16"/>
      <c r="G11" s="16"/>
      <c r="H11" s="16"/>
      <c r="I11" s="17">
        <f>I12-H12</f>
        <v>22.5</v>
      </c>
      <c r="J11" s="17">
        <f t="shared" ref="J11:Y11" si="4">J12-I12</f>
        <v>32.625</v>
      </c>
      <c r="K11" s="17">
        <v>11</v>
      </c>
      <c r="L11" s="17">
        <f t="shared" si="4"/>
        <v>68.594062500000007</v>
      </c>
      <c r="M11" s="17">
        <f t="shared" si="4"/>
        <v>99.461390625000007</v>
      </c>
      <c r="N11" s="17">
        <f t="shared" si="4"/>
        <v>144.21901640624998</v>
      </c>
      <c r="O11" s="17">
        <f t="shared" si="4"/>
        <v>209.11757378906248</v>
      </c>
      <c r="P11" s="17">
        <f t="shared" si="4"/>
        <v>303.22048199414053</v>
      </c>
      <c r="Q11" s="17">
        <f t="shared" si="4"/>
        <v>439.6696988915038</v>
      </c>
      <c r="R11" s="17">
        <f t="shared" si="4"/>
        <v>637.52106339268062</v>
      </c>
      <c r="S11" s="17">
        <f t="shared" si="4"/>
        <v>924.40554191938691</v>
      </c>
      <c r="T11" s="17">
        <f t="shared" si="4"/>
        <v>1340.3880357831113</v>
      </c>
      <c r="U11" s="17">
        <f t="shared" si="4"/>
        <v>1943.5626518855106</v>
      </c>
      <c r="V11" s="17">
        <f t="shared" si="4"/>
        <v>2818.1658452339907</v>
      </c>
      <c r="W11" s="17">
        <f t="shared" si="4"/>
        <v>4086.3404755892861</v>
      </c>
      <c r="X11" s="17">
        <f t="shared" si="4"/>
        <v>5925.1936896044645</v>
      </c>
      <c r="Y11" s="17">
        <f t="shared" si="4"/>
        <v>8591.530849926472</v>
      </c>
      <c r="Z11" s="2"/>
      <c r="AA11" s="2"/>
    </row>
    <row r="12" spans="2:33 16384:16384" x14ac:dyDescent="0.4">
      <c r="B12" s="8" t="s">
        <v>1</v>
      </c>
      <c r="C12" s="38">
        <f>SUM(D12:Y12)</f>
        <v>89092.314133187218</v>
      </c>
      <c r="D12" s="16"/>
      <c r="E12" s="16"/>
      <c r="F12" s="16"/>
      <c r="G12" s="16"/>
      <c r="H12" s="17">
        <v>50</v>
      </c>
      <c r="I12" s="17">
        <f>H12*(1+Assumptions!$C$8)</f>
        <v>72.5</v>
      </c>
      <c r="J12" s="17">
        <f>I12*(1+Assumptions!$C$8)</f>
        <v>105.125</v>
      </c>
      <c r="K12" s="17">
        <f>J12*(1+Assumptions!$C$8)</f>
        <v>152.43125000000001</v>
      </c>
      <c r="L12" s="17">
        <f>K12*(1+Assumptions!$C$8)</f>
        <v>221.02531250000001</v>
      </c>
      <c r="M12" s="17">
        <f>L12*(1+Assumptions!$C$8)</f>
        <v>320.48670312500002</v>
      </c>
      <c r="N12" s="17">
        <f>M12*(1+Assumptions!$C$8)</f>
        <v>464.70571953125</v>
      </c>
      <c r="O12" s="17">
        <f>N12*(1+Assumptions!$C$8)</f>
        <v>673.82329332031247</v>
      </c>
      <c r="P12" s="17">
        <f>O12*(1+Assumptions!$C$8)</f>
        <v>977.043775314453</v>
      </c>
      <c r="Q12" s="17">
        <f>P12*(1+Assumptions!$C$8)</f>
        <v>1416.7134742059568</v>
      </c>
      <c r="R12" s="17">
        <f>Q12*(1+Assumptions!$C$8)</f>
        <v>2054.2345375986374</v>
      </c>
      <c r="S12" s="17">
        <f>R12*(1+Assumptions!$C$8)</f>
        <v>2978.6400795180243</v>
      </c>
      <c r="T12" s="17">
        <f>S12*(1+Assumptions!$C$8)</f>
        <v>4319.0281153011356</v>
      </c>
      <c r="U12" s="17">
        <f>T12*(1+Assumptions!$C$8)</f>
        <v>6262.5907671866462</v>
      </c>
      <c r="V12" s="17">
        <f>U12*(1+Assumptions!$C$8)</f>
        <v>9080.7566124206369</v>
      </c>
      <c r="W12" s="17">
        <f>V12*(1+Assumptions!$C$8)</f>
        <v>13167.097088009923</v>
      </c>
      <c r="X12" s="17">
        <f>W12*(1+Assumptions!$C$8)</f>
        <v>19092.290777614387</v>
      </c>
      <c r="Y12" s="17">
        <f>X12*(1+Assumptions!$C$8)</f>
        <v>27683.821627540859</v>
      </c>
      <c r="Z12" s="2"/>
      <c r="AA12" s="2"/>
      <c r="XFD12" s="2"/>
    </row>
    <row r="13" spans="2:33 16384:16384" x14ac:dyDescent="0.4">
      <c r="B13" s="6" t="s">
        <v>52</v>
      </c>
      <c r="C13" s="38">
        <f>SUM(D13:Y13)</f>
        <v>122.5</v>
      </c>
      <c r="D13" s="16"/>
      <c r="E13" s="16"/>
      <c r="F13" s="16"/>
      <c r="G13" s="16"/>
      <c r="H13" s="17">
        <f>H12*100%</f>
        <v>50</v>
      </c>
      <c r="I13" s="17">
        <f>I12*100%</f>
        <v>72.5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6"/>
      <c r="Y13" s="16"/>
      <c r="Z13" s="2"/>
      <c r="AA13" s="2"/>
    </row>
    <row r="14" spans="2:33 16384:16384" x14ac:dyDescent="0.4">
      <c r="B14" s="6" t="s">
        <v>2</v>
      </c>
      <c r="C14" s="38">
        <f>SUM(D14:Y14)</f>
        <v>59641.738199860447</v>
      </c>
      <c r="D14" s="16"/>
      <c r="E14" s="16"/>
      <c r="F14" s="16"/>
      <c r="G14" s="16"/>
      <c r="H14" s="17"/>
      <c r="I14" s="17"/>
      <c r="J14" s="17">
        <f>J$12*71%</f>
        <v>74.638750000000002</v>
      </c>
      <c r="K14" s="17">
        <f t="shared" ref="K14:M14" si="5">K$12*71%</f>
        <v>108.22618749999999</v>
      </c>
      <c r="L14" s="17">
        <f t="shared" si="5"/>
        <v>156.927971875</v>
      </c>
      <c r="M14" s="17">
        <f t="shared" si="5"/>
        <v>227.54555921875001</v>
      </c>
      <c r="N14" s="17">
        <f t="shared" ref="N14:Y14" si="6">N$12*67%</f>
        <v>311.35283208593751</v>
      </c>
      <c r="O14" s="17">
        <f t="shared" si="6"/>
        <v>451.46160652460941</v>
      </c>
      <c r="P14" s="17">
        <f t="shared" si="6"/>
        <v>654.6193294606835</v>
      </c>
      <c r="Q14" s="17">
        <f t="shared" si="6"/>
        <v>949.19802771799107</v>
      </c>
      <c r="R14" s="17">
        <f t="shared" si="6"/>
        <v>1376.3371401910872</v>
      </c>
      <c r="S14" s="17">
        <f t="shared" si="6"/>
        <v>1995.6888532770763</v>
      </c>
      <c r="T14" s="17">
        <f t="shared" si="6"/>
        <v>2893.748837251761</v>
      </c>
      <c r="U14" s="17">
        <f t="shared" si="6"/>
        <v>4195.9358140150534</v>
      </c>
      <c r="V14" s="17">
        <f t="shared" si="6"/>
        <v>6084.1069303218273</v>
      </c>
      <c r="W14" s="17">
        <f t="shared" si="6"/>
        <v>8821.955048966649</v>
      </c>
      <c r="X14" s="17">
        <f t="shared" si="6"/>
        <v>12791.834821001641</v>
      </c>
      <c r="Y14" s="17">
        <f t="shared" si="6"/>
        <v>18548.160490452377</v>
      </c>
      <c r="Z14" s="2"/>
      <c r="AA14" s="2"/>
    </row>
    <row r="15" spans="2:33 16384:16384" x14ac:dyDescent="0.4">
      <c r="B15" s="6" t="s">
        <v>3</v>
      </c>
      <c r="C15" s="38">
        <f>SUM(D15:Y15)</f>
        <v>24037.83118127305</v>
      </c>
      <c r="D15" s="16"/>
      <c r="E15" s="16"/>
      <c r="F15" s="16"/>
      <c r="G15" s="16"/>
      <c r="H15" s="17"/>
      <c r="I15" s="17"/>
      <c r="J15" s="17">
        <f>J$12*29%</f>
        <v>30.486249999999998</v>
      </c>
      <c r="K15" s="17">
        <f t="shared" ref="K15:M15" si="7">K$12*29%</f>
        <v>44.205062499999997</v>
      </c>
      <c r="L15" s="17">
        <f t="shared" si="7"/>
        <v>64.097340625000001</v>
      </c>
      <c r="M15" s="17">
        <f t="shared" si="7"/>
        <v>92.941143906250005</v>
      </c>
      <c r="N15" s="17">
        <f t="shared" ref="N15:Y15" si="8">N$12*27%</f>
        <v>125.47054427343751</v>
      </c>
      <c r="O15" s="17">
        <f t="shared" si="8"/>
        <v>181.93228919648439</v>
      </c>
      <c r="P15" s="17">
        <f t="shared" si="8"/>
        <v>263.80181933490235</v>
      </c>
      <c r="Q15" s="17">
        <f t="shared" si="8"/>
        <v>382.51263803560835</v>
      </c>
      <c r="R15" s="17">
        <f t="shared" si="8"/>
        <v>554.6433251516321</v>
      </c>
      <c r="S15" s="17">
        <f t="shared" si="8"/>
        <v>804.23282146986662</v>
      </c>
      <c r="T15" s="17">
        <f t="shared" si="8"/>
        <v>1166.1375911313066</v>
      </c>
      <c r="U15" s="17">
        <f t="shared" si="8"/>
        <v>1690.8995071403947</v>
      </c>
      <c r="V15" s="17">
        <f t="shared" si="8"/>
        <v>2451.8042853535721</v>
      </c>
      <c r="W15" s="17">
        <f t="shared" si="8"/>
        <v>3555.1162137626793</v>
      </c>
      <c r="X15" s="17">
        <f t="shared" si="8"/>
        <v>5154.9185099558854</v>
      </c>
      <c r="Y15" s="17">
        <f t="shared" si="8"/>
        <v>7474.6318394360324</v>
      </c>
      <c r="Z15" s="2"/>
      <c r="AA15" s="2"/>
    </row>
    <row r="16" spans="2:33 16384:16384" x14ac:dyDescent="0.4">
      <c r="B16" s="6" t="s">
        <v>4</v>
      </c>
      <c r="C16" s="38">
        <f>SUM(D16:Y16)</f>
        <v>5290.244752053728</v>
      </c>
      <c r="D16" s="16"/>
      <c r="E16" s="16"/>
      <c r="F16" s="16"/>
      <c r="G16" s="16"/>
      <c r="H16" s="16"/>
      <c r="I16" s="16"/>
      <c r="J16" s="17"/>
      <c r="K16" s="17"/>
      <c r="L16" s="17"/>
      <c r="M16" s="17"/>
      <c r="N16" s="17">
        <f t="shared" ref="N16:Y16" si="9">N$12*(1-67%-27%)</f>
        <v>27.882343171874972</v>
      </c>
      <c r="O16" s="17">
        <f t="shared" si="9"/>
        <v>40.42939759921871</v>
      </c>
      <c r="P16" s="17">
        <f t="shared" si="9"/>
        <v>58.622626518867122</v>
      </c>
      <c r="Q16" s="17">
        <f t="shared" si="9"/>
        <v>85.002808452357328</v>
      </c>
      <c r="R16" s="17">
        <f t="shared" si="9"/>
        <v>123.25407225591813</v>
      </c>
      <c r="S16" s="17">
        <f t="shared" si="9"/>
        <v>178.71840477108128</v>
      </c>
      <c r="T16" s="17">
        <f t="shared" si="9"/>
        <v>259.14168691806788</v>
      </c>
      <c r="U16" s="17">
        <f t="shared" si="9"/>
        <v>375.7554460311984</v>
      </c>
      <c r="V16" s="17">
        <f t="shared" si="9"/>
        <v>544.84539674523774</v>
      </c>
      <c r="W16" s="17">
        <f t="shared" si="9"/>
        <v>790.02582528059463</v>
      </c>
      <c r="X16" s="17">
        <f t="shared" si="9"/>
        <v>1145.5374466568621</v>
      </c>
      <c r="Y16" s="17">
        <f t="shared" si="9"/>
        <v>1661.0292976524499</v>
      </c>
      <c r="Z16" s="2"/>
      <c r="AA16" s="2"/>
    </row>
    <row r="17" spans="2:33" x14ac:dyDescent="0.4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2:33" x14ac:dyDescent="0.4">
      <c r="B18" s="8" t="s">
        <v>6</v>
      </c>
      <c r="C18" s="21"/>
      <c r="D18" s="16"/>
      <c r="E18" s="16"/>
      <c r="F18" s="16"/>
      <c r="G18" s="16"/>
      <c r="H18" s="16"/>
      <c r="I18" s="16"/>
      <c r="J18" s="17"/>
      <c r="K18" s="17"/>
      <c r="L18" s="17"/>
      <c r="M18" s="17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2"/>
      <c r="AA18" s="2"/>
    </row>
    <row r="19" spans="2:33" x14ac:dyDescent="0.4">
      <c r="B19" s="6" t="s">
        <v>7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2"/>
      <c r="AA19" s="2"/>
    </row>
    <row r="20" spans="2:33" x14ac:dyDescent="0.4">
      <c r="B20" s="6" t="s">
        <v>9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2"/>
      <c r="AA20" s="2"/>
    </row>
    <row r="21" spans="2:33" x14ac:dyDescent="0.4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2:33" x14ac:dyDescent="0.4">
      <c r="B22" s="3" t="s">
        <v>33</v>
      </c>
    </row>
    <row r="23" spans="2:33" x14ac:dyDescent="0.4">
      <c r="B23" s="8" t="s">
        <v>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</row>
    <row r="24" spans="2:33" x14ac:dyDescent="0.4">
      <c r="B24" s="6" t="s">
        <v>2</v>
      </c>
      <c r="C24" s="11">
        <f>SUM(D24:Y24)</f>
        <v>0</v>
      </c>
      <c r="D24" s="11"/>
      <c r="E24" s="11"/>
      <c r="F24" s="11"/>
      <c r="G24" s="11"/>
      <c r="H24" s="11"/>
      <c r="I24" s="11"/>
      <c r="J24" s="11">
        <f>Assumptions!$C$5*3*J14</f>
        <v>0</v>
      </c>
      <c r="K24" s="11">
        <f>Assumptions!$C$5*3*K14</f>
        <v>0</v>
      </c>
      <c r="L24" s="11">
        <f>Assumptions!$C$5*3*L14</f>
        <v>0</v>
      </c>
      <c r="M24" s="11">
        <f>Assumptions!$C$5*3*M14</f>
        <v>0</v>
      </c>
      <c r="N24" s="11">
        <f>Assumptions!$C$5*3*N14</f>
        <v>0</v>
      </c>
      <c r="O24" s="11">
        <f>Assumptions!$C$5*3*O14</f>
        <v>0</v>
      </c>
      <c r="P24" s="11">
        <f>Assumptions!$C$5*3*P14</f>
        <v>0</v>
      </c>
      <c r="Q24" s="11">
        <f>Assumptions!$C$5*3*Q14</f>
        <v>0</v>
      </c>
      <c r="R24" s="11">
        <f>Assumptions!$C$5*3*R14</f>
        <v>0</v>
      </c>
      <c r="S24" s="11">
        <f>Assumptions!$C$5*3*S14</f>
        <v>0</v>
      </c>
      <c r="T24" s="11">
        <f>Assumptions!$C$5*3*T14</f>
        <v>0</v>
      </c>
      <c r="U24" s="11">
        <f>Assumptions!$C$5*3*U14</f>
        <v>0</v>
      </c>
      <c r="V24" s="11">
        <f>Assumptions!$C$5*3*V14</f>
        <v>0</v>
      </c>
      <c r="W24" s="11">
        <f>Assumptions!$C$5*3*W14</f>
        <v>0</v>
      </c>
      <c r="X24" s="11">
        <f>Assumptions!$C$5*3*X14</f>
        <v>0</v>
      </c>
      <c r="Y24" s="11">
        <f>Assumptions!$C$5*3*Y14</f>
        <v>0</v>
      </c>
      <c r="Z24" s="11"/>
      <c r="AA24" s="11"/>
      <c r="AB24" s="11"/>
      <c r="AC24" s="11"/>
      <c r="AD24" s="11"/>
      <c r="AE24" s="11"/>
      <c r="AF24" s="11"/>
      <c r="AG24" s="11"/>
    </row>
    <row r="25" spans="2:33" x14ac:dyDescent="0.4">
      <c r="B25" s="6" t="s">
        <v>3</v>
      </c>
      <c r="C25" s="11">
        <f>SUM(D25:Y25)</f>
        <v>2884539.7417527661</v>
      </c>
      <c r="D25" s="11"/>
      <c r="E25" s="11"/>
      <c r="F25" s="11"/>
      <c r="G25" s="11"/>
      <c r="H25" s="11"/>
      <c r="I25" s="11"/>
      <c r="J25" s="11">
        <f>Assumptions!$C$6*3*DCF!J15</f>
        <v>3658.35</v>
      </c>
      <c r="K25" s="11">
        <f>Assumptions!$C$6*3*DCF!K15</f>
        <v>5304.6075000000001</v>
      </c>
      <c r="L25" s="11">
        <f>Assumptions!$C$6*3*DCF!L15</f>
        <v>7691.680875</v>
      </c>
      <c r="M25" s="11">
        <f>Assumptions!$C$6*3*DCF!M15</f>
        <v>11152.93726875</v>
      </c>
      <c r="N25" s="11">
        <f>Assumptions!$C$6*3*DCF!N15</f>
        <v>15056.465312812501</v>
      </c>
      <c r="O25" s="11">
        <f>Assumptions!$C$6*3*DCF!O15</f>
        <v>21831.874703578127</v>
      </c>
      <c r="P25" s="11">
        <f>Assumptions!$C$6*3*DCF!P15</f>
        <v>31656.21832018828</v>
      </c>
      <c r="Q25" s="11">
        <f>Assumptions!$C$6*3*DCF!Q15</f>
        <v>45901.516564272999</v>
      </c>
      <c r="R25" s="11">
        <f>Assumptions!$C$6*3*DCF!R15</f>
        <v>66557.199018195854</v>
      </c>
      <c r="S25" s="11">
        <f>Assumptions!$C$6*3*DCF!S15</f>
        <v>96507.938576383996</v>
      </c>
      <c r="T25" s="11">
        <f>Assumptions!$C$6*3*DCF!T15</f>
        <v>139936.51093575679</v>
      </c>
      <c r="U25" s="11">
        <f>Assumptions!$C$6*3*DCF!U15</f>
        <v>202907.94085684736</v>
      </c>
      <c r="V25" s="11">
        <f>Assumptions!$C$6*3*DCF!V15</f>
        <v>294216.51424242865</v>
      </c>
      <c r="W25" s="11">
        <f>Assumptions!$C$6*3*DCF!W15</f>
        <v>426613.9456515215</v>
      </c>
      <c r="X25" s="11">
        <f>Assumptions!$C$6*3*DCF!X15</f>
        <v>618590.22119470628</v>
      </c>
      <c r="Y25" s="11">
        <f>Assumptions!$C$6*3*DCF!Y15</f>
        <v>896955.82073232392</v>
      </c>
      <c r="Z25" s="11"/>
      <c r="AA25" s="11"/>
      <c r="AB25" s="11"/>
      <c r="AC25" s="11"/>
      <c r="AD25" s="11"/>
      <c r="AE25" s="11"/>
      <c r="AF25" s="11"/>
      <c r="AG25" s="11"/>
    </row>
    <row r="26" spans="2:33" x14ac:dyDescent="0.4">
      <c r="B26" s="6" t="s">
        <v>4</v>
      </c>
      <c r="C26" s="11">
        <f>SUM(D26:Y26)</f>
        <v>3174146.8512322372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>
        <f>Assumptions!$C$7*3*N16</f>
        <v>16729.405903124982</v>
      </c>
      <c r="O26" s="11">
        <f>Assumptions!$C$7*3*O16</f>
        <v>24257.638559531228</v>
      </c>
      <c r="P26" s="11">
        <f>Assumptions!$C$7*3*P16</f>
        <v>35173.575911320273</v>
      </c>
      <c r="Q26" s="11">
        <f>Assumptions!$C$7*3*Q16</f>
        <v>51001.685071414395</v>
      </c>
      <c r="R26" s="11">
        <f>Assumptions!$C$7*3*R16</f>
        <v>73952.443353550872</v>
      </c>
      <c r="S26" s="11">
        <f>Assumptions!$C$7*3*S16</f>
        <v>107231.04286264877</v>
      </c>
      <c r="T26" s="11">
        <f>Assumptions!$C$7*3*T16</f>
        <v>155485.01215084072</v>
      </c>
      <c r="U26" s="11">
        <f>Assumptions!$C$7*3*U16</f>
        <v>225453.26761871905</v>
      </c>
      <c r="V26" s="11">
        <f>Assumptions!$C$7*3*V16</f>
        <v>326907.23804714263</v>
      </c>
      <c r="W26" s="11">
        <f>Assumptions!$C$7*3*W16</f>
        <v>474015.49516835681</v>
      </c>
      <c r="X26" s="11">
        <f>Assumptions!$C$7*3*X16</f>
        <v>687322.46799411729</v>
      </c>
      <c r="Y26" s="11">
        <f>Assumptions!$C$7*3*Y16</f>
        <v>996617.57859146991</v>
      </c>
      <c r="Z26" s="11"/>
      <c r="AA26" s="11"/>
      <c r="AB26" s="11"/>
      <c r="AC26" s="11"/>
      <c r="AD26" s="11"/>
      <c r="AE26" s="11"/>
      <c r="AF26" s="11"/>
      <c r="AG26" s="11"/>
    </row>
    <row r="27" spans="2:33" x14ac:dyDescent="0.4">
      <c r="B27" s="6" t="s">
        <v>55</v>
      </c>
      <c r="C27" s="11">
        <f>SUM(C24:C26)</f>
        <v>6058686.5929850033</v>
      </c>
      <c r="D27" s="11">
        <f t="shared" ref="D27:Y27" si="10">SUM(D24:D26)</f>
        <v>0</v>
      </c>
      <c r="E27" s="11">
        <f t="shared" si="10"/>
        <v>0</v>
      </c>
      <c r="F27" s="11">
        <f t="shared" si="10"/>
        <v>0</v>
      </c>
      <c r="G27" s="11">
        <f t="shared" si="10"/>
        <v>0</v>
      </c>
      <c r="H27" s="11">
        <f t="shared" si="10"/>
        <v>0</v>
      </c>
      <c r="I27" s="11">
        <f t="shared" si="10"/>
        <v>0</v>
      </c>
      <c r="J27" s="11">
        <f t="shared" si="10"/>
        <v>3658.35</v>
      </c>
      <c r="K27" s="11">
        <f t="shared" si="10"/>
        <v>5304.6075000000001</v>
      </c>
      <c r="L27" s="11">
        <f t="shared" si="10"/>
        <v>7691.680875</v>
      </c>
      <c r="M27" s="11">
        <f t="shared" si="10"/>
        <v>11152.93726875</v>
      </c>
      <c r="N27" s="11">
        <f t="shared" si="10"/>
        <v>31785.871215937485</v>
      </c>
      <c r="O27" s="11">
        <f t="shared" si="10"/>
        <v>46089.513263109358</v>
      </c>
      <c r="P27" s="11">
        <f t="shared" si="10"/>
        <v>66829.794231508553</v>
      </c>
      <c r="Q27" s="11">
        <f t="shared" si="10"/>
        <v>96903.201635687394</v>
      </c>
      <c r="R27" s="11">
        <f t="shared" si="10"/>
        <v>140509.64237174671</v>
      </c>
      <c r="S27" s="11">
        <f t="shared" si="10"/>
        <v>203738.98143903277</v>
      </c>
      <c r="T27" s="11">
        <f t="shared" si="10"/>
        <v>295421.5230865975</v>
      </c>
      <c r="U27" s="11">
        <f t="shared" si="10"/>
        <v>428361.20847556641</v>
      </c>
      <c r="V27" s="11">
        <f t="shared" si="10"/>
        <v>621123.75228957133</v>
      </c>
      <c r="W27" s="11">
        <f t="shared" si="10"/>
        <v>900629.44081987836</v>
      </c>
      <c r="X27" s="11">
        <f t="shared" si="10"/>
        <v>1305912.6891888236</v>
      </c>
      <c r="Y27" s="11">
        <f t="shared" si="10"/>
        <v>1893573.3993237938</v>
      </c>
      <c r="Z27" s="11"/>
      <c r="AA27" s="11"/>
      <c r="AB27" s="11"/>
      <c r="AC27" s="11"/>
      <c r="AD27" s="11"/>
      <c r="AE27" s="11"/>
      <c r="AF27" s="11"/>
      <c r="AG27" s="11"/>
    </row>
    <row r="28" spans="2:33" x14ac:dyDescent="0.4"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</row>
    <row r="29" spans="2:33" x14ac:dyDescent="0.4">
      <c r="B29" s="8" t="s">
        <v>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</row>
    <row r="30" spans="2:33" x14ac:dyDescent="0.4">
      <c r="B30" s="6" t="s">
        <v>7</v>
      </c>
      <c r="C30" s="11"/>
      <c r="D30" s="11"/>
      <c r="E30" s="11"/>
      <c r="F30" s="11"/>
      <c r="G30" s="11"/>
      <c r="H30" s="11"/>
      <c r="I30" s="11"/>
      <c r="J30" s="11"/>
      <c r="K30" s="11"/>
      <c r="L30" s="11">
        <f>Assumptions!C10</f>
        <v>10000</v>
      </c>
      <c r="M30" s="11"/>
      <c r="N30" s="11"/>
      <c r="O30" s="11"/>
      <c r="P30" s="11">
        <f>L30</f>
        <v>10000</v>
      </c>
      <c r="Q30" s="11"/>
      <c r="R30" s="11"/>
      <c r="S30" s="11"/>
      <c r="T30" s="11">
        <f t="shared" ref="T30:X30" si="11">P30</f>
        <v>10000</v>
      </c>
      <c r="U30" s="11"/>
      <c r="V30" s="11"/>
      <c r="W30" s="11"/>
      <c r="X30" s="11">
        <f t="shared" si="11"/>
        <v>10000</v>
      </c>
      <c r="Y30" s="11"/>
      <c r="Z30" s="11"/>
      <c r="AA30" s="11"/>
      <c r="AB30" s="11"/>
      <c r="AC30" s="11"/>
      <c r="AD30" s="11"/>
      <c r="AE30" s="11"/>
      <c r="AF30" s="11"/>
      <c r="AG30" s="11"/>
    </row>
    <row r="31" spans="2:33" x14ac:dyDescent="0.4">
      <c r="B31" s="6" t="s">
        <v>9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>Assumptions!C11</f>
        <v>50000</v>
      </c>
      <c r="N31" s="11"/>
      <c r="O31" s="11"/>
      <c r="P31" s="11"/>
      <c r="Q31" s="11"/>
      <c r="R31" s="11">
        <f>M31</f>
        <v>50000</v>
      </c>
      <c r="S31" s="11"/>
      <c r="T31" s="11"/>
      <c r="U31" s="11"/>
      <c r="V31" s="11"/>
      <c r="W31" s="11">
        <f t="shared" ref="W31" si="12">R31</f>
        <v>50000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</row>
    <row r="32" spans="2:33" x14ac:dyDescent="0.4">
      <c r="B32" s="6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</row>
    <row r="33" spans="2:33" x14ac:dyDescent="0.4">
      <c r="B33" s="8" t="s">
        <v>10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</row>
    <row r="34" spans="2:33" x14ac:dyDescent="0.4">
      <c r="B34" s="6" t="s">
        <v>11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2:33" x14ac:dyDescent="0.4">
      <c r="B35" s="6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</row>
    <row r="36" spans="2:33" x14ac:dyDescent="0.4">
      <c r="B36" s="8" t="s">
        <v>12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</row>
    <row r="37" spans="2:33" x14ac:dyDescent="0.4">
      <c r="B37" s="6" t="s">
        <v>13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</row>
    <row r="39" spans="2:33" x14ac:dyDescent="0.4">
      <c r="B39" s="172" t="s">
        <v>91</v>
      </c>
      <c r="C39" s="16"/>
      <c r="D39" s="173">
        <f>D37+D34+D31+D30+D27</f>
        <v>0</v>
      </c>
      <c r="E39" s="173">
        <f t="shared" ref="E39:Y39" si="13">E37+E34+E31+E30+E27</f>
        <v>0</v>
      </c>
      <c r="F39" s="173">
        <f t="shared" si="13"/>
        <v>0</v>
      </c>
      <c r="G39" s="173">
        <f t="shared" si="13"/>
        <v>0</v>
      </c>
      <c r="H39" s="173">
        <f t="shared" si="13"/>
        <v>0</v>
      </c>
      <c r="I39" s="173">
        <f t="shared" si="13"/>
        <v>0</v>
      </c>
      <c r="J39" s="173">
        <f t="shared" si="13"/>
        <v>3658.35</v>
      </c>
      <c r="K39" s="173">
        <f t="shared" si="13"/>
        <v>5304.6075000000001</v>
      </c>
      <c r="L39" s="173">
        <f t="shared" si="13"/>
        <v>17691.680874999998</v>
      </c>
      <c r="M39" s="173">
        <f t="shared" si="13"/>
        <v>61152.93726875</v>
      </c>
      <c r="N39" s="173">
        <f t="shared" si="13"/>
        <v>31785.871215937485</v>
      </c>
      <c r="O39" s="173">
        <f t="shared" si="13"/>
        <v>46089.513263109358</v>
      </c>
      <c r="P39" s="173">
        <f t="shared" si="13"/>
        <v>76829.794231508553</v>
      </c>
      <c r="Q39" s="173">
        <f t="shared" si="13"/>
        <v>96903.201635687394</v>
      </c>
      <c r="R39" s="173">
        <f t="shared" si="13"/>
        <v>190509.64237174671</v>
      </c>
      <c r="S39" s="173">
        <f t="shared" si="13"/>
        <v>203738.98143903277</v>
      </c>
      <c r="T39" s="173">
        <f t="shared" si="13"/>
        <v>305421.5230865975</v>
      </c>
      <c r="U39" s="173">
        <f t="shared" si="13"/>
        <v>428361.20847556641</v>
      </c>
      <c r="V39" s="173">
        <f t="shared" si="13"/>
        <v>621123.75228957133</v>
      </c>
      <c r="W39" s="173">
        <f t="shared" si="13"/>
        <v>950629.44081987836</v>
      </c>
      <c r="X39" s="173">
        <f t="shared" si="13"/>
        <v>1315912.6891888236</v>
      </c>
      <c r="Y39" s="173">
        <f t="shared" si="13"/>
        <v>1893573.3993237938</v>
      </c>
      <c r="Z39" s="173"/>
      <c r="AA39" s="173"/>
      <c r="AB39" s="173"/>
      <c r="AC39" s="173"/>
      <c r="AD39" s="173"/>
      <c r="AE39" s="173"/>
      <c r="AF39" s="173"/>
      <c r="AG39" s="173"/>
    </row>
    <row r="41" spans="2:33" x14ac:dyDescent="0.4">
      <c r="B41" s="3" t="s">
        <v>90</v>
      </c>
      <c r="Y41" s="174">
        <f>Y39*4/10^6</f>
        <v>7.574293597295175</v>
      </c>
    </row>
    <row r="42" spans="2:33" x14ac:dyDescent="0.4">
      <c r="B42" s="180" t="str">
        <f>Quarterly!C5</f>
        <v>Staff (in £ '000)</v>
      </c>
      <c r="C42" s="183" cm="1">
        <f t="array" ref="C42">SUM(D42:Y42/$C$56)</f>
        <v>0.46428297753441333</v>
      </c>
      <c r="D42" s="181">
        <f>D43+D44</f>
        <v>20000</v>
      </c>
      <c r="E42" s="181">
        <f t="shared" ref="E42:Y42" si="14">E43+E44</f>
        <v>27500</v>
      </c>
      <c r="F42" s="181">
        <f t="shared" si="14"/>
        <v>46500</v>
      </c>
      <c r="G42" s="181">
        <f t="shared" si="14"/>
        <v>46500</v>
      </c>
      <c r="H42" s="181">
        <f t="shared" si="14"/>
        <v>50000</v>
      </c>
      <c r="I42" s="181">
        <f t="shared" si="14"/>
        <v>50000</v>
      </c>
      <c r="J42" s="181">
        <f t="shared" si="14"/>
        <v>50000</v>
      </c>
      <c r="K42" s="181">
        <f t="shared" si="14"/>
        <v>50000</v>
      </c>
      <c r="L42" s="181">
        <f t="shared" si="14"/>
        <v>72500</v>
      </c>
      <c r="M42" s="181">
        <f t="shared" si="14"/>
        <v>72500</v>
      </c>
      <c r="N42" s="181">
        <f t="shared" si="14"/>
        <v>72500</v>
      </c>
      <c r="O42" s="181">
        <f t="shared" si="14"/>
        <v>72500</v>
      </c>
      <c r="P42" s="181">
        <f t="shared" si="14"/>
        <v>72500</v>
      </c>
      <c r="Q42" s="181">
        <f t="shared" si="14"/>
        <v>72500</v>
      </c>
      <c r="R42" s="181">
        <f t="shared" si="14"/>
        <v>72500</v>
      </c>
      <c r="S42" s="181">
        <f t="shared" si="14"/>
        <v>72500</v>
      </c>
      <c r="T42" s="181">
        <f t="shared" si="14"/>
        <v>228000</v>
      </c>
      <c r="U42" s="181">
        <f t="shared" si="14"/>
        <v>228000</v>
      </c>
      <c r="V42" s="181">
        <f t="shared" si="14"/>
        <v>228000</v>
      </c>
      <c r="W42" s="181">
        <f t="shared" si="14"/>
        <v>228000</v>
      </c>
      <c r="X42" s="181">
        <f t="shared" si="14"/>
        <v>228000</v>
      </c>
      <c r="Y42" s="181">
        <f t="shared" si="14"/>
        <v>228000</v>
      </c>
      <c r="Z42" s="11"/>
      <c r="AA42" s="11"/>
      <c r="AB42" s="11"/>
      <c r="AC42" s="11"/>
      <c r="AD42" s="11"/>
      <c r="AE42" s="11"/>
      <c r="AF42" s="11"/>
      <c r="AG42" s="11"/>
    </row>
    <row r="43" spans="2:33" x14ac:dyDescent="0.4">
      <c r="B43" s="18" t="str">
        <f>Quarterly!C6</f>
        <v>UK Market</v>
      </c>
      <c r="C43" s="183" cm="1">
        <f t="array" ref="C43">SUM(D43:Y43/$C$56)</f>
        <v>0.32551541946863288</v>
      </c>
      <c r="D43" s="11">
        <f>Quarterly!E6</f>
        <v>20000</v>
      </c>
      <c r="E43" s="11">
        <f>Quarterly!F6</f>
        <v>27500</v>
      </c>
      <c r="F43" s="11">
        <f>Quarterly!G6</f>
        <v>46500</v>
      </c>
      <c r="G43" s="11">
        <f>Quarterly!H6</f>
        <v>46500</v>
      </c>
      <c r="H43" s="11">
        <f>Quarterly!I6</f>
        <v>50000</v>
      </c>
      <c r="I43" s="11">
        <f>Quarterly!J6</f>
        <v>50000</v>
      </c>
      <c r="J43" s="11">
        <f>Quarterly!K6</f>
        <v>50000</v>
      </c>
      <c r="K43" s="11">
        <f>Quarterly!L6</f>
        <v>50000</v>
      </c>
      <c r="L43" s="11">
        <f>Quarterly!M6</f>
        <v>72500</v>
      </c>
      <c r="M43" s="11">
        <f>Quarterly!N6</f>
        <v>72500</v>
      </c>
      <c r="N43" s="11">
        <f>Quarterly!O6</f>
        <v>72500</v>
      </c>
      <c r="O43" s="11">
        <f>Quarterly!P6</f>
        <v>72500</v>
      </c>
      <c r="P43" s="11">
        <f>Quarterly!Q6</f>
        <v>72500</v>
      </c>
      <c r="Q43" s="11">
        <f>Quarterly!R6</f>
        <v>72500</v>
      </c>
      <c r="R43" s="11">
        <f>Quarterly!S6</f>
        <v>72500</v>
      </c>
      <c r="S43" s="11">
        <f>Quarterly!T6</f>
        <v>72500</v>
      </c>
      <c r="T43" s="11">
        <f>Quarterly!U6</f>
        <v>114000</v>
      </c>
      <c r="U43" s="11">
        <f>Quarterly!V6</f>
        <v>114000</v>
      </c>
      <c r="V43" s="11">
        <f>Quarterly!W6</f>
        <v>114000</v>
      </c>
      <c r="W43" s="11">
        <f>Quarterly!X6</f>
        <v>114000</v>
      </c>
      <c r="X43" s="11">
        <f>Quarterly!Y6</f>
        <v>114000</v>
      </c>
      <c r="Y43" s="11">
        <f>Quarterly!Z6</f>
        <v>114000</v>
      </c>
      <c r="Z43" s="11"/>
      <c r="AA43" s="11"/>
      <c r="AB43" s="11"/>
      <c r="AC43" s="11"/>
      <c r="AD43" s="11"/>
      <c r="AE43" s="11"/>
      <c r="AF43" s="11"/>
      <c r="AG43" s="11"/>
    </row>
    <row r="44" spans="2:33" x14ac:dyDescent="0.4">
      <c r="B44" s="18" t="str">
        <f>Quarterly!C14</f>
        <v>US Market</v>
      </c>
      <c r="C44" s="183" cm="1">
        <f t="array" ref="C44">SUM(D44:Y44/$C$56)</f>
        <v>0.13876755806578053</v>
      </c>
      <c r="D44" s="11">
        <f>Quarterly!E14</f>
        <v>0</v>
      </c>
      <c r="E44" s="11">
        <f>Quarterly!F14</f>
        <v>0</v>
      </c>
      <c r="F44" s="11">
        <f>Quarterly!G14</f>
        <v>0</v>
      </c>
      <c r="G44" s="11">
        <f>Quarterly!H14</f>
        <v>0</v>
      </c>
      <c r="H44" s="11">
        <f>Quarterly!I14</f>
        <v>0</v>
      </c>
      <c r="I44" s="11">
        <f>Quarterly!J14</f>
        <v>0</v>
      </c>
      <c r="J44" s="11">
        <f>Quarterly!K14</f>
        <v>0</v>
      </c>
      <c r="K44" s="11">
        <f>Quarterly!L14</f>
        <v>0</v>
      </c>
      <c r="L44" s="11">
        <f>Quarterly!M14</f>
        <v>0</v>
      </c>
      <c r="M44" s="11">
        <f>Quarterly!N14</f>
        <v>0</v>
      </c>
      <c r="N44" s="11">
        <f>Quarterly!O14</f>
        <v>0</v>
      </c>
      <c r="O44" s="11">
        <f>Quarterly!P14</f>
        <v>0</v>
      </c>
      <c r="P44" s="11">
        <f>Quarterly!Q14</f>
        <v>0</v>
      </c>
      <c r="Q44" s="11">
        <f>Quarterly!R14</f>
        <v>0</v>
      </c>
      <c r="R44" s="11">
        <f>Quarterly!S14</f>
        <v>0</v>
      </c>
      <c r="S44" s="11">
        <f>Quarterly!T14</f>
        <v>0</v>
      </c>
      <c r="T44" s="11">
        <f>Quarterly!U14</f>
        <v>114000</v>
      </c>
      <c r="U44" s="11">
        <f>Quarterly!V14</f>
        <v>114000</v>
      </c>
      <c r="V44" s="11">
        <f>Quarterly!W14</f>
        <v>114000</v>
      </c>
      <c r="W44" s="11">
        <f>Quarterly!X14</f>
        <v>114000</v>
      </c>
      <c r="X44" s="11">
        <f>Quarterly!Y14</f>
        <v>114000</v>
      </c>
      <c r="Y44" s="11">
        <f>Quarterly!Z14</f>
        <v>114000</v>
      </c>
      <c r="Z44" s="11"/>
      <c r="AA44" s="11"/>
      <c r="AB44" s="11"/>
      <c r="AC44" s="11"/>
      <c r="AD44" s="11"/>
      <c r="AE44" s="11"/>
      <c r="AF44" s="11"/>
      <c r="AG44" s="11"/>
    </row>
    <row r="45" spans="2:33" x14ac:dyDescent="0.4">
      <c r="B45" s="180" t="str">
        <f>Quarterly!C22</f>
        <v>Technology Cost (in £ '000)</v>
      </c>
      <c r="C45" s="183" cm="1">
        <f t="array" ref="C45">SUM(D45:Y45/$C$56)</f>
        <v>5.6805433126342904E-2</v>
      </c>
      <c r="D45" s="181">
        <f>D46+D47</f>
        <v>10000</v>
      </c>
      <c r="E45" s="181">
        <f t="shared" ref="E45:Y45" si="15">E46+E47</f>
        <v>10000</v>
      </c>
      <c r="F45" s="181">
        <f t="shared" si="15"/>
        <v>10000</v>
      </c>
      <c r="G45" s="181">
        <f t="shared" si="15"/>
        <v>10000</v>
      </c>
      <c r="H45" s="181">
        <f t="shared" si="15"/>
        <v>10000</v>
      </c>
      <c r="I45" s="181">
        <f t="shared" si="15"/>
        <v>10000</v>
      </c>
      <c r="J45" s="181">
        <f t="shared" si="15"/>
        <v>10000</v>
      </c>
      <c r="K45" s="181">
        <f t="shared" si="15"/>
        <v>10000</v>
      </c>
      <c r="L45" s="181">
        <f t="shared" si="15"/>
        <v>10000</v>
      </c>
      <c r="M45" s="181">
        <f t="shared" si="15"/>
        <v>10000</v>
      </c>
      <c r="N45" s="181">
        <f t="shared" si="15"/>
        <v>10000</v>
      </c>
      <c r="O45" s="181">
        <f t="shared" si="15"/>
        <v>10000</v>
      </c>
      <c r="P45" s="181">
        <f t="shared" si="15"/>
        <v>10000</v>
      </c>
      <c r="Q45" s="181">
        <f t="shared" si="15"/>
        <v>10000</v>
      </c>
      <c r="R45" s="181">
        <f t="shared" si="15"/>
        <v>10000</v>
      </c>
      <c r="S45" s="181">
        <f t="shared" si="15"/>
        <v>10000</v>
      </c>
      <c r="T45" s="181">
        <f t="shared" si="15"/>
        <v>20000</v>
      </c>
      <c r="U45" s="181">
        <f t="shared" si="15"/>
        <v>20000</v>
      </c>
      <c r="V45" s="181">
        <f t="shared" si="15"/>
        <v>20000</v>
      </c>
      <c r="W45" s="181">
        <f t="shared" si="15"/>
        <v>20000</v>
      </c>
      <c r="X45" s="181">
        <f t="shared" si="15"/>
        <v>20000</v>
      </c>
      <c r="Y45" s="181">
        <f t="shared" si="15"/>
        <v>20000</v>
      </c>
      <c r="Z45" s="11"/>
      <c r="AA45" s="11"/>
      <c r="AB45" s="11"/>
      <c r="AC45" s="11"/>
      <c r="AD45" s="11"/>
      <c r="AE45" s="11"/>
      <c r="AF45" s="11"/>
      <c r="AG45" s="11"/>
    </row>
    <row r="46" spans="2:33" x14ac:dyDescent="0.4">
      <c r="B46" s="18" t="str">
        <f>Quarterly!C23</f>
        <v>UK Market</v>
      </c>
      <c r="C46" s="183" cm="1">
        <f t="array" ref="C46">SUM(D46:Y46/$C$56)</f>
        <v>4.463284031355514E-2</v>
      </c>
      <c r="D46" s="11">
        <f>Quarterly!E24</f>
        <v>10000</v>
      </c>
      <c r="E46" s="11">
        <f>Quarterly!F24</f>
        <v>10000</v>
      </c>
      <c r="F46" s="11">
        <f>Quarterly!G24</f>
        <v>10000</v>
      </c>
      <c r="G46" s="11">
        <f>Quarterly!H24</f>
        <v>10000</v>
      </c>
      <c r="H46" s="11">
        <f>Quarterly!I24</f>
        <v>10000</v>
      </c>
      <c r="I46" s="11">
        <f>Quarterly!J24</f>
        <v>10000</v>
      </c>
      <c r="J46" s="11">
        <f>Quarterly!K24</f>
        <v>10000</v>
      </c>
      <c r="K46" s="11">
        <f>Quarterly!L24</f>
        <v>10000</v>
      </c>
      <c r="L46" s="11">
        <f>Quarterly!M24</f>
        <v>10000</v>
      </c>
      <c r="M46" s="11">
        <f>Quarterly!N24</f>
        <v>10000</v>
      </c>
      <c r="N46" s="11">
        <f>Quarterly!O24</f>
        <v>10000</v>
      </c>
      <c r="O46" s="11">
        <f>Quarterly!P24</f>
        <v>10000</v>
      </c>
      <c r="P46" s="11">
        <f>Quarterly!Q24</f>
        <v>10000</v>
      </c>
      <c r="Q46" s="11">
        <f>Quarterly!R24</f>
        <v>10000</v>
      </c>
      <c r="R46" s="11">
        <f>Quarterly!S24</f>
        <v>10000</v>
      </c>
      <c r="S46" s="11">
        <f>Quarterly!T24</f>
        <v>10000</v>
      </c>
      <c r="T46" s="11">
        <f>Quarterly!U24</f>
        <v>10000</v>
      </c>
      <c r="U46" s="11">
        <f>Quarterly!V24</f>
        <v>10000</v>
      </c>
      <c r="V46" s="11">
        <f>Quarterly!W24</f>
        <v>10000</v>
      </c>
      <c r="W46" s="11">
        <f>Quarterly!X24</f>
        <v>10000</v>
      </c>
      <c r="X46" s="11">
        <f>Quarterly!Y24</f>
        <v>10000</v>
      </c>
      <c r="Y46" s="11">
        <f>Quarterly!Z24</f>
        <v>10000</v>
      </c>
      <c r="Z46" s="11"/>
      <c r="AA46" s="11"/>
      <c r="AB46" s="11"/>
      <c r="AC46" s="11"/>
      <c r="AD46" s="11"/>
      <c r="AE46" s="11"/>
      <c r="AF46" s="11"/>
      <c r="AG46" s="11"/>
    </row>
    <row r="47" spans="2:33" x14ac:dyDescent="0.4">
      <c r="B47" s="18" t="str">
        <f>Quarterly!C25</f>
        <v>US Market</v>
      </c>
      <c r="C47" s="183" cm="1">
        <f t="array" ref="C47">SUM(D47:Y47/$C$56)</f>
        <v>1.2172592812787767E-2</v>
      </c>
      <c r="D47" s="11">
        <f>Quarterly!E26</f>
        <v>0</v>
      </c>
      <c r="E47" s="11">
        <f>Quarterly!F26</f>
        <v>0</v>
      </c>
      <c r="F47" s="11">
        <f>Quarterly!G26</f>
        <v>0</v>
      </c>
      <c r="G47" s="11">
        <f>Quarterly!H26</f>
        <v>0</v>
      </c>
      <c r="H47" s="11">
        <f>Quarterly!I26</f>
        <v>0</v>
      </c>
      <c r="I47" s="11">
        <f>Quarterly!J26</f>
        <v>0</v>
      </c>
      <c r="J47" s="11">
        <f>Quarterly!K26</f>
        <v>0</v>
      </c>
      <c r="K47" s="11">
        <f>Quarterly!L26</f>
        <v>0</v>
      </c>
      <c r="L47" s="11">
        <f>Quarterly!M26</f>
        <v>0</v>
      </c>
      <c r="M47" s="11">
        <f>Quarterly!N26</f>
        <v>0</v>
      </c>
      <c r="N47" s="11">
        <f>Quarterly!O26</f>
        <v>0</v>
      </c>
      <c r="O47" s="11">
        <f>Quarterly!P26</f>
        <v>0</v>
      </c>
      <c r="P47" s="11">
        <f>Quarterly!Q26</f>
        <v>0</v>
      </c>
      <c r="Q47" s="11">
        <f>Quarterly!R26</f>
        <v>0</v>
      </c>
      <c r="R47" s="11">
        <f>Quarterly!S26</f>
        <v>0</v>
      </c>
      <c r="S47" s="11">
        <f>Quarterly!T26</f>
        <v>0</v>
      </c>
      <c r="T47" s="11">
        <f>Quarterly!U26</f>
        <v>10000</v>
      </c>
      <c r="U47" s="11">
        <f>Quarterly!V26</f>
        <v>10000</v>
      </c>
      <c r="V47" s="11">
        <f>Quarterly!W26</f>
        <v>10000</v>
      </c>
      <c r="W47" s="11">
        <f>Quarterly!X26</f>
        <v>10000</v>
      </c>
      <c r="X47" s="11">
        <f>Quarterly!Y26</f>
        <v>10000</v>
      </c>
      <c r="Y47" s="11">
        <f>Quarterly!Z26</f>
        <v>10000</v>
      </c>
      <c r="Z47" s="11"/>
      <c r="AA47" s="11"/>
      <c r="AB47" s="11"/>
      <c r="AC47" s="11"/>
      <c r="AD47" s="11"/>
      <c r="AE47" s="11"/>
      <c r="AF47" s="11"/>
      <c r="AG47" s="11"/>
    </row>
    <row r="48" spans="2:33" x14ac:dyDescent="0.4">
      <c r="B48" s="180" t="str">
        <f>Quarterly!C27</f>
        <v>Physical Office</v>
      </c>
      <c r="C48" s="183" cm="1">
        <f t="array" ref="C48">SUM(D48:Y48/$C$56)</f>
        <v>5.6805433126342904E-2</v>
      </c>
      <c r="D48" s="181">
        <f>SUM(D49:D50)</f>
        <v>10000</v>
      </c>
      <c r="E48" s="181">
        <f t="shared" ref="E48:Y48" si="16">SUM(E49:E50)</f>
        <v>10000</v>
      </c>
      <c r="F48" s="181">
        <f t="shared" si="16"/>
        <v>10000</v>
      </c>
      <c r="G48" s="181">
        <f t="shared" si="16"/>
        <v>10000</v>
      </c>
      <c r="H48" s="181">
        <f t="shared" si="16"/>
        <v>10000</v>
      </c>
      <c r="I48" s="181">
        <f t="shared" si="16"/>
        <v>10000</v>
      </c>
      <c r="J48" s="181">
        <f t="shared" si="16"/>
        <v>10000</v>
      </c>
      <c r="K48" s="181">
        <f t="shared" si="16"/>
        <v>10000</v>
      </c>
      <c r="L48" s="181">
        <f t="shared" si="16"/>
        <v>10000</v>
      </c>
      <c r="M48" s="181">
        <f t="shared" si="16"/>
        <v>10000</v>
      </c>
      <c r="N48" s="181">
        <f t="shared" si="16"/>
        <v>10000</v>
      </c>
      <c r="O48" s="181">
        <f t="shared" si="16"/>
        <v>10000</v>
      </c>
      <c r="P48" s="181">
        <f t="shared" si="16"/>
        <v>10000</v>
      </c>
      <c r="Q48" s="181">
        <f t="shared" si="16"/>
        <v>10000</v>
      </c>
      <c r="R48" s="181">
        <f t="shared" si="16"/>
        <v>10000</v>
      </c>
      <c r="S48" s="181">
        <f t="shared" si="16"/>
        <v>10000</v>
      </c>
      <c r="T48" s="181">
        <f t="shared" si="16"/>
        <v>20000</v>
      </c>
      <c r="U48" s="181">
        <f t="shared" si="16"/>
        <v>20000</v>
      </c>
      <c r="V48" s="181">
        <f t="shared" si="16"/>
        <v>20000</v>
      </c>
      <c r="W48" s="181">
        <f t="shared" si="16"/>
        <v>20000</v>
      </c>
      <c r="X48" s="181">
        <f t="shared" si="16"/>
        <v>20000</v>
      </c>
      <c r="Y48" s="181">
        <f t="shared" si="16"/>
        <v>20000</v>
      </c>
      <c r="Z48" s="11"/>
      <c r="AA48" s="11"/>
      <c r="AB48" s="11"/>
      <c r="AC48" s="11"/>
      <c r="AD48" s="11"/>
      <c r="AE48" s="11"/>
      <c r="AF48" s="11"/>
      <c r="AG48" s="11"/>
    </row>
    <row r="49" spans="2:33" x14ac:dyDescent="0.4">
      <c r="B49" s="18" t="str">
        <f>Quarterly!C28</f>
        <v>UK Market</v>
      </c>
      <c r="C49" s="183" cm="1">
        <f t="array" ref="C49">SUM(D49:Y49/$C$56)</f>
        <v>4.463284031355514E-2</v>
      </c>
      <c r="D49" s="11">
        <f>Quarterly!E29</f>
        <v>10000</v>
      </c>
      <c r="E49" s="11">
        <f>Quarterly!F29</f>
        <v>10000</v>
      </c>
      <c r="F49" s="11">
        <f>Quarterly!G29</f>
        <v>10000</v>
      </c>
      <c r="G49" s="11">
        <f>Quarterly!H29</f>
        <v>10000</v>
      </c>
      <c r="H49" s="11">
        <f>Quarterly!I29</f>
        <v>10000</v>
      </c>
      <c r="I49" s="11">
        <f>Quarterly!J29</f>
        <v>10000</v>
      </c>
      <c r="J49" s="11">
        <f>Quarterly!K29</f>
        <v>10000</v>
      </c>
      <c r="K49" s="11">
        <f>Quarterly!L29</f>
        <v>10000</v>
      </c>
      <c r="L49" s="11">
        <f>Quarterly!M29</f>
        <v>10000</v>
      </c>
      <c r="M49" s="11">
        <f>Quarterly!N29</f>
        <v>10000</v>
      </c>
      <c r="N49" s="11">
        <f>Quarterly!O29</f>
        <v>10000</v>
      </c>
      <c r="O49" s="11">
        <f>Quarterly!P29</f>
        <v>10000</v>
      </c>
      <c r="P49" s="11">
        <f>Quarterly!Q29</f>
        <v>10000</v>
      </c>
      <c r="Q49" s="11">
        <f>Quarterly!R29</f>
        <v>10000</v>
      </c>
      <c r="R49" s="11">
        <f>Quarterly!S29</f>
        <v>10000</v>
      </c>
      <c r="S49" s="11">
        <f>Quarterly!T29</f>
        <v>10000</v>
      </c>
      <c r="T49" s="11">
        <f>Quarterly!U29</f>
        <v>10000</v>
      </c>
      <c r="U49" s="11">
        <f>Quarterly!V29</f>
        <v>10000</v>
      </c>
      <c r="V49" s="11">
        <f>Quarterly!W29</f>
        <v>10000</v>
      </c>
      <c r="W49" s="11">
        <f>Quarterly!X29</f>
        <v>10000</v>
      </c>
      <c r="X49" s="11">
        <f>Quarterly!Y29</f>
        <v>10000</v>
      </c>
      <c r="Y49" s="11">
        <f>Quarterly!Z29</f>
        <v>10000</v>
      </c>
      <c r="Z49" s="11"/>
      <c r="AA49" s="11"/>
      <c r="AB49" s="11"/>
      <c r="AC49" s="11"/>
      <c r="AD49" s="11"/>
      <c r="AE49" s="11"/>
      <c r="AF49" s="11"/>
      <c r="AG49" s="11"/>
    </row>
    <row r="50" spans="2:33" x14ac:dyDescent="0.4">
      <c r="B50" s="18" t="str">
        <f>Quarterly!C30</f>
        <v>US Market</v>
      </c>
      <c r="C50" s="183" cm="1">
        <f t="array" ref="C50">SUM(D50:Y50/$C$56)</f>
        <v>1.2172592812787767E-2</v>
      </c>
      <c r="D50" s="11">
        <f>Quarterly!E31</f>
        <v>0</v>
      </c>
      <c r="E50" s="11">
        <f>Quarterly!F31</f>
        <v>0</v>
      </c>
      <c r="F50" s="11">
        <f>Quarterly!G31</f>
        <v>0</v>
      </c>
      <c r="G50" s="11">
        <f>Quarterly!H31</f>
        <v>0</v>
      </c>
      <c r="H50" s="11">
        <f>Quarterly!I31</f>
        <v>0</v>
      </c>
      <c r="I50" s="11">
        <f>Quarterly!J31</f>
        <v>0</v>
      </c>
      <c r="J50" s="11">
        <f>Quarterly!K31</f>
        <v>0</v>
      </c>
      <c r="K50" s="11">
        <f>Quarterly!L31</f>
        <v>0</v>
      </c>
      <c r="L50" s="11">
        <f>Quarterly!M31</f>
        <v>0</v>
      </c>
      <c r="M50" s="11">
        <f>Quarterly!N31</f>
        <v>0</v>
      </c>
      <c r="N50" s="11">
        <f>Quarterly!O31</f>
        <v>0</v>
      </c>
      <c r="O50" s="11">
        <f>Quarterly!P31</f>
        <v>0</v>
      </c>
      <c r="P50" s="11">
        <f>Quarterly!Q31</f>
        <v>0</v>
      </c>
      <c r="Q50" s="11">
        <f>Quarterly!R31</f>
        <v>0</v>
      </c>
      <c r="R50" s="11">
        <f>Quarterly!S31</f>
        <v>0</v>
      </c>
      <c r="S50" s="11">
        <f>Quarterly!T31</f>
        <v>0</v>
      </c>
      <c r="T50" s="11">
        <f>Quarterly!U31</f>
        <v>10000</v>
      </c>
      <c r="U50" s="11">
        <f>Quarterly!V31</f>
        <v>10000</v>
      </c>
      <c r="V50" s="11">
        <f>Quarterly!W31</f>
        <v>10000</v>
      </c>
      <c r="W50" s="11">
        <f>Quarterly!X31</f>
        <v>10000</v>
      </c>
      <c r="X50" s="11">
        <f>Quarterly!Y31</f>
        <v>10000</v>
      </c>
      <c r="Y50" s="11">
        <f>Quarterly!Z31</f>
        <v>10000</v>
      </c>
      <c r="Z50" s="11"/>
      <c r="AA50" s="11"/>
      <c r="AB50" s="11"/>
      <c r="AC50" s="11"/>
      <c r="AD50" s="11"/>
      <c r="AE50" s="11"/>
      <c r="AF50" s="11"/>
      <c r="AG50" s="11"/>
    </row>
    <row r="51" spans="2:33" x14ac:dyDescent="0.4">
      <c r="B51" s="18" t="s">
        <v>96</v>
      </c>
      <c r="C51" s="183" cm="1">
        <f t="array" ref="C51">SUM(D51:Y51/$C$56)</f>
        <v>6.0862964063938835E-3</v>
      </c>
      <c r="D51" s="11"/>
      <c r="E51" s="11">
        <f>Assumptions!$C$29*5</f>
        <v>5000</v>
      </c>
      <c r="F51" s="11"/>
      <c r="G51" s="11"/>
      <c r="H51" s="11"/>
      <c r="I51" s="11">
        <f>Assumptions!$C$29*5</f>
        <v>5000</v>
      </c>
      <c r="J51" s="11"/>
      <c r="K51" s="11"/>
      <c r="L51" s="11"/>
      <c r="M51" s="11">
        <f>Assumptions!$C$29*5</f>
        <v>5000</v>
      </c>
      <c r="N51" s="11"/>
      <c r="O51" s="11"/>
      <c r="P51" s="11"/>
      <c r="Q51" s="11">
        <f>Assumptions!$C$29*5</f>
        <v>5000</v>
      </c>
      <c r="R51" s="11"/>
      <c r="S51" s="11"/>
      <c r="T51" s="11"/>
      <c r="U51" s="11">
        <f>Assumptions!$C$29*5</f>
        <v>5000</v>
      </c>
      <c r="V51" s="11"/>
      <c r="W51" s="11"/>
      <c r="X51" s="11"/>
      <c r="Y51" s="11">
        <f>Assumptions!$C$29*5</f>
        <v>5000</v>
      </c>
      <c r="Z51" s="11"/>
      <c r="AA51" s="11"/>
      <c r="AB51" s="11"/>
      <c r="AC51" s="11"/>
      <c r="AD51" s="11"/>
      <c r="AE51" s="11"/>
      <c r="AF51" s="11"/>
      <c r="AG51" s="11"/>
    </row>
    <row r="52" spans="2:33" x14ac:dyDescent="0.4">
      <c r="B52" s="18" t="s">
        <v>19</v>
      </c>
      <c r="C52" s="183" cm="1">
        <f t="array" ref="C52">SUM(D52:Y52/$C$56)</f>
        <v>3.5706272250844114E-2</v>
      </c>
      <c r="D52" s="11">
        <f>Assumptions!$C$25*4</f>
        <v>8000</v>
      </c>
      <c r="E52" s="11">
        <f>Assumptions!$C$25*4</f>
        <v>8000</v>
      </c>
      <c r="F52" s="11">
        <f>Assumptions!$C$25*4</f>
        <v>8000</v>
      </c>
      <c r="G52" s="11">
        <f>Assumptions!$C$25*4</f>
        <v>8000</v>
      </c>
      <c r="H52" s="11">
        <f>Assumptions!$C$25*4</f>
        <v>8000</v>
      </c>
      <c r="I52" s="11">
        <f>Assumptions!$C$25*4</f>
        <v>8000</v>
      </c>
      <c r="J52" s="11">
        <f>Assumptions!$C$25*4</f>
        <v>8000</v>
      </c>
      <c r="K52" s="11">
        <f>Assumptions!$C$25*4</f>
        <v>8000</v>
      </c>
      <c r="L52" s="11">
        <f>Assumptions!$C$25*4</f>
        <v>8000</v>
      </c>
      <c r="M52" s="11">
        <f>Assumptions!$C$25*4</f>
        <v>8000</v>
      </c>
      <c r="N52" s="11">
        <f>Assumptions!$C$25*4</f>
        <v>8000</v>
      </c>
      <c r="O52" s="11">
        <f>Assumptions!$C$25*4</f>
        <v>8000</v>
      </c>
      <c r="P52" s="11">
        <f>Assumptions!$C$25*4</f>
        <v>8000</v>
      </c>
      <c r="Q52" s="11">
        <f>Assumptions!$C$25*4</f>
        <v>8000</v>
      </c>
      <c r="R52" s="11">
        <f>Assumptions!$C$25*4</f>
        <v>8000</v>
      </c>
      <c r="S52" s="11">
        <f>Assumptions!$C$25*4</f>
        <v>8000</v>
      </c>
      <c r="T52" s="11">
        <f>Assumptions!$C$25*4</f>
        <v>8000</v>
      </c>
      <c r="U52" s="11">
        <f>Assumptions!$C$25*4</f>
        <v>8000</v>
      </c>
      <c r="V52" s="11">
        <f>Assumptions!$C$25*4</f>
        <v>8000</v>
      </c>
      <c r="W52" s="11">
        <f>Assumptions!$C$25*4</f>
        <v>8000</v>
      </c>
      <c r="X52" s="11">
        <f>Assumptions!$C$25*4</f>
        <v>8000</v>
      </c>
      <c r="Y52" s="11">
        <f>Assumptions!$C$25*4</f>
        <v>8000</v>
      </c>
      <c r="Z52" s="11"/>
      <c r="AA52" s="11"/>
      <c r="AB52" s="11"/>
      <c r="AC52" s="11"/>
      <c r="AD52" s="11"/>
      <c r="AE52" s="11"/>
      <c r="AF52" s="11"/>
      <c r="AG52" s="11"/>
    </row>
    <row r="53" spans="2:33" x14ac:dyDescent="0.4">
      <c r="B53" s="18" t="s">
        <v>97</v>
      </c>
      <c r="C53" s="183" cm="1">
        <f t="array" ref="C53">SUM(D53:Y53/$C$56)</f>
        <v>0.25354239170377513</v>
      </c>
      <c r="D53" s="11">
        <f>D39*Assumptions!$C$28</f>
        <v>0</v>
      </c>
      <c r="E53" s="11">
        <f>E39*Assumptions!$C$28</f>
        <v>0</v>
      </c>
      <c r="F53" s="11">
        <f>F39*Assumptions!$C$28</f>
        <v>0</v>
      </c>
      <c r="G53" s="11">
        <f>G39*Assumptions!$C$28</f>
        <v>0</v>
      </c>
      <c r="H53" s="11">
        <f>H39*Assumptions!$C$28</f>
        <v>0</v>
      </c>
      <c r="I53" s="11">
        <f>I39*Assumptions!$C$28</f>
        <v>0</v>
      </c>
      <c r="J53" s="11">
        <f>J39*Assumptions!$C$28</f>
        <v>731.67000000000007</v>
      </c>
      <c r="K53" s="11">
        <f>K39*Assumptions!$C$28</f>
        <v>1060.9215000000002</v>
      </c>
      <c r="L53" s="11">
        <f>L39*Assumptions!$C$28</f>
        <v>3538.3361749999999</v>
      </c>
      <c r="M53" s="11">
        <f>M39*Assumptions!$C$28</f>
        <v>12230.58745375</v>
      </c>
      <c r="N53" s="11">
        <f>N39*Assumptions!$C$28</f>
        <v>6357.1742431874973</v>
      </c>
      <c r="O53" s="11">
        <f>O39*Assumptions!$C$28</f>
        <v>9217.9026526218713</v>
      </c>
      <c r="P53" s="11">
        <f>P39*Assumptions!$C$28</f>
        <v>15365.958846301712</v>
      </c>
      <c r="Q53" s="11">
        <f>Q39*Assumptions!$C$28</f>
        <v>19380.64032713748</v>
      </c>
      <c r="R53" s="11">
        <f>R39*Assumptions!$C$28</f>
        <v>38101.928474349341</v>
      </c>
      <c r="S53" s="11">
        <f>S39*Assumptions!$C$28</f>
        <v>40747.796287806559</v>
      </c>
      <c r="T53" s="11">
        <f>T39*Assumptions!$C$28</f>
        <v>61084.304617319503</v>
      </c>
      <c r="U53" s="11">
        <f>U39*Assumptions!$C$28</f>
        <v>85672.241695113291</v>
      </c>
      <c r="V53" s="11">
        <f>V39*Assumptions!$C$28</f>
        <v>124224.75045791427</v>
      </c>
      <c r="W53" s="11">
        <f>W39*Assumptions!$C$28</f>
        <v>190125.88816397567</v>
      </c>
      <c r="X53" s="11">
        <f>X39*Assumptions!$C$28</f>
        <v>263182.53783776471</v>
      </c>
      <c r="Y53" s="11">
        <f>Y39*Assumptions!$C$28</f>
        <v>378714.6798647588</v>
      </c>
      <c r="Z53" s="11"/>
      <c r="AA53" s="11"/>
      <c r="AB53" s="11"/>
      <c r="AC53" s="11"/>
      <c r="AD53" s="11"/>
      <c r="AE53" s="11"/>
      <c r="AF53" s="11"/>
      <c r="AG53" s="11"/>
    </row>
    <row r="54" spans="2:33" x14ac:dyDescent="0.4">
      <c r="B54" s="18" t="s">
        <v>25</v>
      </c>
      <c r="C54" s="183" cm="1">
        <f t="array" ref="C54">SUM(D54:Y54/$C$56)</f>
        <v>0.12677119585188756</v>
      </c>
      <c r="D54" s="11">
        <f>D39*Assumptions!$C$30</f>
        <v>0</v>
      </c>
      <c r="E54" s="11">
        <f>E39*Assumptions!$C$30</f>
        <v>0</v>
      </c>
      <c r="F54" s="11">
        <f>F39*Assumptions!$C$30</f>
        <v>0</v>
      </c>
      <c r="G54" s="11">
        <f>G39*Assumptions!$C$30</f>
        <v>0</v>
      </c>
      <c r="H54" s="11">
        <f>H39*Assumptions!$C$30</f>
        <v>0</v>
      </c>
      <c r="I54" s="11">
        <f>I39*Assumptions!$C$30</f>
        <v>0</v>
      </c>
      <c r="J54" s="11">
        <f>J39*Assumptions!$C$30</f>
        <v>365.83500000000004</v>
      </c>
      <c r="K54" s="11">
        <f>K39*Assumptions!$C$30</f>
        <v>530.46075000000008</v>
      </c>
      <c r="L54" s="11">
        <f>L39*Assumptions!$C$30</f>
        <v>1769.1680875</v>
      </c>
      <c r="M54" s="11">
        <f>M39*Assumptions!$C$30</f>
        <v>6115.2937268750002</v>
      </c>
      <c r="N54" s="11">
        <f>N39*Assumptions!$C$30</f>
        <v>3178.5871215937486</v>
      </c>
      <c r="O54" s="11">
        <f>O39*Assumptions!$C$30</f>
        <v>4608.9513263109357</v>
      </c>
      <c r="P54" s="11">
        <f>P39*Assumptions!$C$30</f>
        <v>7682.9794231508558</v>
      </c>
      <c r="Q54" s="11">
        <f>Q39*Assumptions!$C$30</f>
        <v>9690.3201635687401</v>
      </c>
      <c r="R54" s="11">
        <f>R39*Assumptions!$C$30</f>
        <v>19050.96423717467</v>
      </c>
      <c r="S54" s="11">
        <f>S39*Assumptions!$C$30</f>
        <v>20373.89814390328</v>
      </c>
      <c r="T54" s="11">
        <f>T39*Assumptions!$C$30</f>
        <v>30542.152308659752</v>
      </c>
      <c r="U54" s="11">
        <f>U39*Assumptions!$C$30</f>
        <v>42836.120847556645</v>
      </c>
      <c r="V54" s="11">
        <f>V39*Assumptions!$C$30</f>
        <v>62112.375228957135</v>
      </c>
      <c r="W54" s="11">
        <f>W39*Assumptions!$C$30</f>
        <v>95062.944081987836</v>
      </c>
      <c r="X54" s="11">
        <f>X39*Assumptions!$C$30</f>
        <v>131591.26891888236</v>
      </c>
      <c r="Y54" s="11">
        <f>Y39*Assumptions!$C$30</f>
        <v>189357.3399323794</v>
      </c>
      <c r="Z54" s="11"/>
      <c r="AA54" s="11"/>
      <c r="AB54" s="11"/>
      <c r="AC54" s="11"/>
      <c r="AD54" s="11"/>
      <c r="AE54" s="11"/>
      <c r="AF54" s="11"/>
      <c r="AG54" s="11"/>
    </row>
    <row r="55" spans="2:33" x14ac:dyDescent="0.4">
      <c r="B55" s="18"/>
      <c r="C55" s="18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</row>
    <row r="56" spans="2:33" x14ac:dyDescent="0.4">
      <c r="B56" s="18" t="s">
        <v>92</v>
      </c>
      <c r="C56" s="11">
        <f>SUM(D56:AG56)</f>
        <v>4929105.9778955011</v>
      </c>
      <c r="D56" s="11">
        <f>SUM(D42,D45,D48,D51,D52,D53,D54)</f>
        <v>48000</v>
      </c>
      <c r="E56" s="11">
        <f t="shared" ref="E56:Y56" si="17">SUM(E42,E45,E48,E51,E52,E53,E54)</f>
        <v>60500</v>
      </c>
      <c r="F56" s="11">
        <f t="shared" si="17"/>
        <v>74500</v>
      </c>
      <c r="G56" s="11">
        <f t="shared" si="17"/>
        <v>74500</v>
      </c>
      <c r="H56" s="11">
        <f t="shared" si="17"/>
        <v>78000</v>
      </c>
      <c r="I56" s="11">
        <f t="shared" si="17"/>
        <v>83000</v>
      </c>
      <c r="J56" s="11">
        <f t="shared" si="17"/>
        <v>79097.505000000005</v>
      </c>
      <c r="K56" s="11">
        <f t="shared" si="17"/>
        <v>79591.382249999995</v>
      </c>
      <c r="L56" s="11">
        <f t="shared" si="17"/>
        <v>105807.50426250001</v>
      </c>
      <c r="M56" s="11">
        <f t="shared" si="17"/>
        <v>123845.881180625</v>
      </c>
      <c r="N56" s="11">
        <f t="shared" si="17"/>
        <v>110035.76136478125</v>
      </c>
      <c r="O56" s="11">
        <f t="shared" si="17"/>
        <v>114326.85397893281</v>
      </c>
      <c r="P56" s="11">
        <f t="shared" si="17"/>
        <v>123548.93826945257</v>
      </c>
      <c r="Q56" s="11">
        <f t="shared" si="17"/>
        <v>134570.96049070623</v>
      </c>
      <c r="R56" s="11">
        <f t="shared" si="17"/>
        <v>157652.89271152401</v>
      </c>
      <c r="S56" s="11">
        <f t="shared" si="17"/>
        <v>161621.69443170982</v>
      </c>
      <c r="T56" s="11">
        <f t="shared" si="17"/>
        <v>367626.45692597923</v>
      </c>
      <c r="U56" s="11">
        <f t="shared" si="17"/>
        <v>409508.36254266993</v>
      </c>
      <c r="V56" s="11">
        <f t="shared" si="17"/>
        <v>462337.12568687141</v>
      </c>
      <c r="W56" s="11">
        <f t="shared" si="17"/>
        <v>561188.83224596351</v>
      </c>
      <c r="X56" s="11">
        <f t="shared" si="17"/>
        <v>670773.80675664707</v>
      </c>
      <c r="Y56" s="11">
        <f t="shared" si="17"/>
        <v>849072.01979713829</v>
      </c>
      <c r="Z56" s="11"/>
      <c r="AA56" s="11"/>
      <c r="AB56" s="11"/>
      <c r="AC56" s="11"/>
      <c r="AD56" s="11"/>
      <c r="AE56" s="11"/>
      <c r="AF56" s="11"/>
      <c r="AG56" s="11"/>
    </row>
    <row r="57" spans="2:33" x14ac:dyDescent="0.4">
      <c r="N57" s="15"/>
      <c r="O57" s="15"/>
      <c r="P57" s="15"/>
      <c r="Q57" s="15"/>
    </row>
    <row r="58" spans="2:33" x14ac:dyDescent="0.4">
      <c r="B58" s="18" t="s">
        <v>101</v>
      </c>
      <c r="C58" s="11"/>
      <c r="D58" s="173">
        <f>D39-D56</f>
        <v>-48000</v>
      </c>
      <c r="E58" s="173">
        <f>E39-E56</f>
        <v>-60500</v>
      </c>
      <c r="F58" s="173">
        <f>F39-F56</f>
        <v>-74500</v>
      </c>
      <c r="G58" s="173">
        <f>G39-G56</f>
        <v>-74500</v>
      </c>
      <c r="H58" s="173">
        <f>H39-H56</f>
        <v>-78000</v>
      </c>
      <c r="I58" s="173">
        <f>I39-I56</f>
        <v>-83000</v>
      </c>
      <c r="J58" s="173">
        <f>J39-J56</f>
        <v>-75439.154999999999</v>
      </c>
      <c r="K58" s="173">
        <f>K39-K56</f>
        <v>-74286.774749999997</v>
      </c>
      <c r="L58" s="173">
        <f>L39-L56</f>
        <v>-88115.823387500015</v>
      </c>
      <c r="M58" s="173">
        <f>M39-M56</f>
        <v>-62692.943911875002</v>
      </c>
      <c r="N58" s="173">
        <f>N39-N56</f>
        <v>-78249.89014884377</v>
      </c>
      <c r="O58" s="173">
        <f>O39-O56</f>
        <v>-68237.340715823448</v>
      </c>
      <c r="P58" s="173">
        <f>P39-P56</f>
        <v>-46719.144037944017</v>
      </c>
      <c r="Q58" s="173">
        <f>Q39-Q56</f>
        <v>-37667.758855018837</v>
      </c>
      <c r="R58" s="173">
        <f>R39-R56</f>
        <v>32856.749660222704</v>
      </c>
      <c r="S58" s="173">
        <f>S39-S56</f>
        <v>42117.287007322942</v>
      </c>
      <c r="T58" s="173">
        <f>T39-T56</f>
        <v>-62204.933839381731</v>
      </c>
      <c r="U58" s="173">
        <f>U39-U56</f>
        <v>18852.845932896482</v>
      </c>
      <c r="V58" s="173">
        <f>V39-V56</f>
        <v>158786.62660269992</v>
      </c>
      <c r="W58" s="173">
        <f>W39-W56</f>
        <v>389440.60857391485</v>
      </c>
      <c r="X58" s="173">
        <f>X39-X56</f>
        <v>645138.8824321765</v>
      </c>
      <c r="Y58" s="173">
        <f>Y39-Y56</f>
        <v>1044501.3795266555</v>
      </c>
      <c r="Z58" s="173">
        <f>Z39-Z56</f>
        <v>0</v>
      </c>
      <c r="AA58" s="173">
        <f>AA39-AA56</f>
        <v>0</v>
      </c>
      <c r="AB58" s="173">
        <f>AB39-AB56</f>
        <v>0</v>
      </c>
      <c r="AC58" s="173">
        <f>AC39-AC56</f>
        <v>0</v>
      </c>
      <c r="AD58" s="173">
        <f>AD39-AD56</f>
        <v>0</v>
      </c>
      <c r="AE58" s="173">
        <f>AE39-AE56</f>
        <v>0</v>
      </c>
      <c r="AF58" s="173">
        <f>AF39-AF56</f>
        <v>0</v>
      </c>
      <c r="AG58" s="173">
        <f>AG39-AG56</f>
        <v>0</v>
      </c>
    </row>
    <row r="59" spans="2:33" x14ac:dyDescent="0.4">
      <c r="B59" s="18" t="s">
        <v>93</v>
      </c>
      <c r="C59" s="16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75"/>
      <c r="O59" s="175"/>
      <c r="P59" s="175"/>
      <c r="Q59" s="18"/>
      <c r="R59" s="18"/>
      <c r="S59" s="18"/>
      <c r="T59" s="18"/>
      <c r="U59" s="18"/>
      <c r="V59" s="18"/>
      <c r="W59" s="18"/>
      <c r="X59" s="18"/>
      <c r="Y59" s="173"/>
      <c r="Z59" s="173">
        <f>Y58*4*DCF!$C$74</f>
        <v>50136066.217279464</v>
      </c>
      <c r="AA59" s="18"/>
      <c r="AB59" s="18"/>
      <c r="AC59" s="18"/>
      <c r="AD59" s="18"/>
      <c r="AE59" s="18"/>
      <c r="AF59" s="18"/>
      <c r="AG59" s="18"/>
    </row>
    <row r="60" spans="2:33" x14ac:dyDescent="0.4">
      <c r="N60" s="15"/>
      <c r="O60" s="15"/>
      <c r="P60" s="15"/>
      <c r="Y60" s="174"/>
    </row>
    <row r="61" spans="2:33" x14ac:dyDescent="0.4">
      <c r="B61" s="184" t="s">
        <v>99</v>
      </c>
      <c r="C61" s="16"/>
      <c r="D61" s="173">
        <f>D58+D59</f>
        <v>-48000</v>
      </c>
      <c r="E61" s="173">
        <f t="shared" ref="E61:Z61" si="18">E58+E59</f>
        <v>-60500</v>
      </c>
      <c r="F61" s="173">
        <f t="shared" si="18"/>
        <v>-74500</v>
      </c>
      <c r="G61" s="173">
        <f t="shared" si="18"/>
        <v>-74500</v>
      </c>
      <c r="H61" s="173">
        <f t="shared" si="18"/>
        <v>-78000</v>
      </c>
      <c r="I61" s="173">
        <f t="shared" si="18"/>
        <v>-83000</v>
      </c>
      <c r="J61" s="173">
        <f t="shared" si="18"/>
        <v>-75439.154999999999</v>
      </c>
      <c r="K61" s="173">
        <f t="shared" si="18"/>
        <v>-74286.774749999997</v>
      </c>
      <c r="L61" s="173">
        <f t="shared" si="18"/>
        <v>-88115.823387500015</v>
      </c>
      <c r="M61" s="173">
        <f t="shared" si="18"/>
        <v>-62692.943911875002</v>
      </c>
      <c r="N61" s="173">
        <f t="shared" si="18"/>
        <v>-78249.89014884377</v>
      </c>
      <c r="O61" s="173">
        <f t="shared" si="18"/>
        <v>-68237.340715823448</v>
      </c>
      <c r="P61" s="173">
        <f t="shared" si="18"/>
        <v>-46719.144037944017</v>
      </c>
      <c r="Q61" s="173">
        <f t="shared" si="18"/>
        <v>-37667.758855018837</v>
      </c>
      <c r="R61" s="173">
        <f t="shared" si="18"/>
        <v>32856.749660222704</v>
      </c>
      <c r="S61" s="173">
        <f t="shared" si="18"/>
        <v>42117.287007322942</v>
      </c>
      <c r="T61" s="173">
        <f t="shared" si="18"/>
        <v>-62204.933839381731</v>
      </c>
      <c r="U61" s="173">
        <f t="shared" si="18"/>
        <v>18852.845932896482</v>
      </c>
      <c r="V61" s="173">
        <f t="shared" si="18"/>
        <v>158786.62660269992</v>
      </c>
      <c r="W61" s="173">
        <f t="shared" si="18"/>
        <v>389440.60857391485</v>
      </c>
      <c r="X61" s="173">
        <f t="shared" si="18"/>
        <v>645138.8824321765</v>
      </c>
      <c r="Y61" s="173">
        <f t="shared" si="18"/>
        <v>1044501.3795266555</v>
      </c>
      <c r="Z61" s="173">
        <f t="shared" si="18"/>
        <v>50136066.217279464</v>
      </c>
    </row>
    <row r="62" spans="2:33" x14ac:dyDescent="0.4">
      <c r="B62" s="18" t="s">
        <v>100</v>
      </c>
      <c r="C62" s="16"/>
      <c r="D62" s="182">
        <f>XNPV(DCF!$C$75,DCF!D61:Z61,DCF!D4:Z4)/10^6</f>
        <v>17.727265364075663</v>
      </c>
    </row>
    <row r="64" spans="2:33" x14ac:dyDescent="0.4">
      <c r="B64" s="165" t="s">
        <v>104</v>
      </c>
      <c r="N64" s="15"/>
      <c r="O64" s="15"/>
      <c r="P64" s="15"/>
      <c r="Y64" s="174"/>
    </row>
    <row r="65" spans="2:33" x14ac:dyDescent="0.4">
      <c r="B65" s="18" t="s">
        <v>103</v>
      </c>
      <c r="C65" s="183"/>
      <c r="D65" s="11">
        <v>500000</v>
      </c>
      <c r="E65" s="1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2:33" x14ac:dyDescent="0.4">
      <c r="B66" s="18" t="s">
        <v>58</v>
      </c>
      <c r="C66" s="183"/>
      <c r="D66" s="11"/>
      <c r="E66" s="11"/>
      <c r="F66" s="11"/>
      <c r="G66" s="11"/>
      <c r="H66" s="11"/>
      <c r="I66" s="11">
        <v>500000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</row>
    <row r="67" spans="2:33" x14ac:dyDescent="0.4">
      <c r="B67" s="18" t="s">
        <v>59</v>
      </c>
      <c r="C67" s="183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>
        <f>5*10^6</f>
        <v>5000000</v>
      </c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</row>
    <row r="68" spans="2:33" x14ac:dyDescent="0.4">
      <c r="B68" s="18" t="s">
        <v>60</v>
      </c>
      <c r="C68" s="183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</row>
    <row r="69" spans="2:33" x14ac:dyDescent="0.4">
      <c r="N69" s="15"/>
      <c r="O69" s="15"/>
      <c r="P69" s="15"/>
      <c r="Y69" s="174"/>
    </row>
    <row r="72" spans="2:33" x14ac:dyDescent="0.4">
      <c r="B72" s="33" t="s">
        <v>107</v>
      </c>
      <c r="C72" s="33"/>
    </row>
    <row r="73" spans="2:33" x14ac:dyDescent="0.4">
      <c r="B73" s="6"/>
      <c r="C73" s="7"/>
    </row>
    <row r="74" spans="2:33" x14ac:dyDescent="0.4">
      <c r="B74" s="6" t="s">
        <v>94</v>
      </c>
      <c r="C74" s="176">
        <v>12</v>
      </c>
    </row>
    <row r="75" spans="2:33" x14ac:dyDescent="0.4">
      <c r="B75" s="6" t="s">
        <v>98</v>
      </c>
      <c r="C75" s="10">
        <v>0.21</v>
      </c>
    </row>
    <row r="76" spans="2:33" x14ac:dyDescent="0.4">
      <c r="B76" s="6" t="s">
        <v>105</v>
      </c>
      <c r="C76" s="11">
        <f>DCF!Y58*4/10^6</f>
        <v>4.1780055181066222</v>
      </c>
    </row>
    <row r="77" spans="2:33" x14ac:dyDescent="0.4">
      <c r="B77" s="6" t="s">
        <v>93</v>
      </c>
      <c r="C77" s="11">
        <f>DCF!Z61/10^6</f>
        <v>50.136066217279463</v>
      </c>
    </row>
    <row r="78" spans="2:33" x14ac:dyDescent="0.4">
      <c r="B78" s="6" t="s">
        <v>106</v>
      </c>
      <c r="C78" s="11">
        <f>DCF!D62</f>
        <v>17.727265364075663</v>
      </c>
    </row>
  </sheetData>
  <mergeCells count="15">
    <mergeCell ref="B72:C72"/>
    <mergeCell ref="H8:Y8"/>
    <mergeCell ref="Z9:AA9"/>
    <mergeCell ref="H7:I7"/>
    <mergeCell ref="D2:E2"/>
    <mergeCell ref="F2:I2"/>
    <mergeCell ref="J2:M2"/>
    <mergeCell ref="N2:Q2"/>
    <mergeCell ref="R2:U2"/>
    <mergeCell ref="V2:Y2"/>
    <mergeCell ref="Z2:AC2"/>
    <mergeCell ref="AD2:AG2"/>
    <mergeCell ref="F7:G7"/>
    <mergeCell ref="D6:E6"/>
    <mergeCell ref="D5:E5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OpexCapex</vt:lpstr>
      <vt:lpstr>Quarterly</vt:lpstr>
      <vt:lpstr>Annual</vt:lpstr>
      <vt:lpstr>Assumptions</vt:lpstr>
      <vt:lpstr>DCF</vt:lpstr>
      <vt:lpstr>Annual!Print_Area</vt:lpstr>
      <vt:lpstr>OpexCapex!Print_Area</vt:lpstr>
      <vt:lpstr>Quarterly!Print_Area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Avneet Singh</dc:creator>
  <cp:lastModifiedBy>Avneet Singh</cp:lastModifiedBy>
  <dcterms:created xsi:type="dcterms:W3CDTF">2025-03-18T12:19:35Z</dcterms:created>
  <dcterms:modified xsi:type="dcterms:W3CDTF">2025-03-20T14:20:56Z</dcterms:modified>
</cp:coreProperties>
</file>